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https://wadhwanifoundation-my.sharepoint.com/personal/niju_prabha_wadhwanifoundation_org/Documents/Desktop/"/>
    </mc:Choice>
  </mc:AlternateContent>
  <xr:revisionPtr revIDLastSave="0" documentId="8_{E34A9738-1C2E-4DE9-82DE-0DF57644577D}" xr6:coauthVersionLast="47" xr6:coauthVersionMax="47" xr10:uidLastSave="{00000000-0000-0000-0000-000000000000}"/>
  <bookViews>
    <workbookView xWindow="-108" yWindow="-108" windowWidth="23256" windowHeight="12456" firstSheet="2" activeTab="2" xr2:uid="{00000000-000D-0000-FFFF-FFFF00000000}"/>
  </bookViews>
  <sheets>
    <sheet name="Instructions" sheetId="1" r:id="rId1"/>
    <sheet name="Application Form" sheetId="2" r:id="rId2"/>
    <sheet name="Screening Manager Inputs" sheetId="3" r:id="rId3"/>
    <sheet name="Panel Inputs (Prime)" sheetId="5" r:id="rId4"/>
    <sheet name="Venture Partner Inputs" sheetId="6" r:id="rId5"/>
    <sheet name="Sheet1" sheetId="7" state="hidden" r:id="rId6"/>
    <sheet name="Panel Inputs (Core-Select)" sheetId="4" r:id="rId7"/>
  </sheets>
  <externalReferences>
    <externalReference r:id="rId8"/>
    <externalReference r:id="rId9"/>
  </externalReferences>
  <definedNames>
    <definedName name="_xlnm._FilterDatabase" localSheetId="3" hidden="1">'Panel Inputs (Prime)'!$A$1:$BD$2</definedName>
    <definedName name="_xlnm._FilterDatabase" localSheetId="2" hidden="1">'Screening Manager Inputs'!$A$1:$AD$1</definedName>
    <definedName name="_xlnm._FilterDatabase" localSheetId="1" hidden="1">'Application Form'!$A$1:$AE$1</definedName>
    <definedName name="_xlnm._FilterDatabase" localSheetId="4" hidden="1">'Venture Partner Inputs'!$A$1:$FS$1</definedName>
    <definedName name="_xlnm._FilterDatabase" localSheetId="6" hidden="1">'Panel Inputs (Core-Select)'!$A$1:$BX$1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6" l="1"/>
  <c r="D10" i="6"/>
  <c r="D9" i="6"/>
  <c r="D8" i="6"/>
  <c r="D7" i="6"/>
  <c r="D6" i="6"/>
  <c r="D5" i="6"/>
  <c r="D4" i="6"/>
  <c r="K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WEN Accelerate</author>
  </authors>
  <commentList>
    <comment ref="AU1" authorId="0" shapeId="0" xr:uid="{00000000-0006-0000-0400-000001000000}">
      <text>
        <r>
          <rPr>
            <sz val="11"/>
            <color theme="1"/>
            <rFont val="Calibri"/>
            <family val="2"/>
            <scheme val="minor"/>
          </rPr>
          <t>RUBRIC:
1 - REJECT: Cannot articulate current business, no specific growth idea
2 - Vague revenue description, highly concentrated, expansion idea is broad/wishful
3 - Revenue model exists but complex/unclear, single customer/geography heavy, expansion idea somewhat defined
4 - Defined revenue model (1-2 streams), moderate diversification, clear expansion idea, reasonable timing logic
5 - Clear revenue model (2-3 streams), diversified customers/geographies, specific expansion idea matching 1 of 7 growth areas, compelling why now logic</t>
        </r>
      </text>
    </comment>
    <comment ref="AV1" authorId="0" shapeId="0" xr:uid="{00000000-0006-0000-0400-000002000000}">
      <text>
        <r>
          <rPr>
            <sz val="11"/>
            <color theme="1"/>
            <rFont val="Calibri"/>
            <family val="2"/>
            <scheme val="minor"/>
          </rPr>
          <t>RUBRIC:
1 - REJECT: Cannot provide 3-year numbers, no growth pattern
2 - Flat/declining revenue, vague drivers, blames external factors
3 - Mixed growth (10-20% avg), some flat years, basic explanations
4 - Steady 20-30% YoY growth OR volatile but upward trajectory with explanations
5 - Consistent 30%+ YoY growth, identifiable drivers, learned from any slowdowns</t>
        </r>
      </text>
    </comment>
    <comment ref="AW1" authorId="0" shapeId="0" xr:uid="{00000000-0006-0000-0400-000003000000}">
      <text>
        <r>
          <rPr>
            <sz val="11"/>
            <color theme="1"/>
            <rFont val="Calibri"/>
            <family val="2"/>
            <scheme val="minor"/>
          </rPr>
          <t>RUBRIC:
1 - REJECT: Cannot explain financials, cashflow crisis, no funding clarity
2 - Consistent losses, heavy debt with repayment issues, unclear funding path
3 - Variable profitability, some debt but good repayment history, funding plan exists
4 - Break-even or modest losses with path to profitability, bankable track record, realistic funding plan
5 - Stable/growing profitability, positive cashflow OR strong EBITDA (&gt;15%), clear internal funding path</t>
        </r>
      </text>
    </comment>
    <comment ref="AX1" authorId="0" shapeId="0" xr:uid="{00000000-0006-0000-0400-000004000000}">
      <text>
        <r>
          <rPr>
            <sz val="11"/>
            <color theme="1"/>
            <rFont val="Calibri"/>
            <family val="2"/>
            <scheme val="minor"/>
          </rPr>
          <t>RUBRIC:
1 - REJECT: No team structure, promoter does everything
2 - Founder does everything critical, no functional specialization
3 - Founder leads most functions but some delegation exists, basic hiring plan
4 - 2+ key functions led by experienced non-founders, identified expansion hires
5 - Multiple functional heads (sales/ops/finance), clear succession depth, hired senior talent before</t>
        </r>
      </text>
    </comment>
    <comment ref="AY1" authorId="0" shapeId="0" xr:uid="{00000000-0006-0000-0400-000005000000}">
      <text>
        <r>
          <rPr>
            <sz val="11"/>
            <color theme="1"/>
            <rFont val="Calibri"/>
            <family val="2"/>
            <scheme val="minor"/>
          </rPr>
          <t>RUBRIC:
1 - REJECT: No awareness of expansion steps needed
2 - Just thinking about it, no tangible actions
3 - Discussed internally, minimal resources allocated, early research done
4 - Dedicated 1-3 months, small budget committed, market validation started
5 - Spent 3-6+ months, allocated budget/staff, customer pilots underway</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<sst xmlns="http://schemas.openxmlformats.org/spreadsheetml/2006/main" count="3070" uniqueCount="1401">
  <si>
    <t>WEN Accelerate – Legacy Data Ingestion Template</t>
  </si>
  <si>
    <t>PURPOSE</t>
  </si>
  <si>
    <t>This workbook is designed to capture offline legacy venture data and ingest it into the WEN Accelerate platform.</t>
  </si>
  <si>
    <t>SHEETS OVERVIEW</t>
  </si>
  <si>
    <t>1. Application Form</t>
  </si>
  <si>
    <t>Entrepreneur-submitted application data (business info, growth idea, support needs, stream statuses)</t>
  </si>
  <si>
    <t>2. Screening Manager Inputs</t>
  </si>
  <si>
    <t>SCALE Scorecard with 7 dimensions (Size, Sector, Capital, Ambition, Leadership, Jobs, Venture Clarity) — each with Assessment, Rating (Green/Yellow/Red), and Brief. Plus Recommend Program section.</t>
  </si>
  <si>
    <t>3. Panel Inputs (Core-Select)</t>
  </si>
  <si>
    <t>Panel feedback form for Core/Select programs (Sections A-D: Business, Venture Definition, Support, Recommendation)</t>
  </si>
  <si>
    <t>4. Panel Inputs (Prime)</t>
  </si>
  <si>
    <t>SCALE Scorecard (Panel), Panel Gate Questions, Q1-Q10 scorecard (Q3-Q7 use rubric scoring — hover on header for rubric descriptions), Panel Recommendation (Yes/No)</t>
  </si>
  <si>
    <t>5. Venture Partner Inputs</t>
  </si>
  <si>
    <t>Post-onboarding data: KPIs, 6-stream roadmap (end goal + support status), plus 6 deliverables per stream (title, owner, start date, end date). Streams are color-coded.</t>
  </si>
  <si>
    <t>INSTRUCTIONS</t>
  </si>
  <si>
    <t>• Fields marked with * are mandatory.</t>
  </si>
  <si>
    <t>• Row 2 in each sheet contains example data — please delete before uploading.</t>
  </si>
  <si>
    <t>• Dropdown validations are applied where applicable — use the dropdown values.</t>
  </si>
  <si>
    <t>• Dates should be in YYYY-MM-DD format (e.g., 2026-01-15).</t>
  </si>
  <si>
    <t>• Revenue fields are in INR Crore.</t>
  </si>
  <si>
    <t>• Ratings are on a 1-5 scale unless otherwise stated.</t>
  </si>
  <si>
    <t>• Venture Name must match across sheets for the same venture.</t>
  </si>
  <si>
    <t>VALID VALUES REFERENCE</t>
  </si>
  <si>
    <t>Stream Status (Application Form)</t>
  </si>
  <si>
    <t>Not started, On track, Need some advice, Need deep support, Completed</t>
  </si>
  <si>
    <t>Stream Status (Panel Core/Select)</t>
  </si>
  <si>
    <t>not_started, on_track, need_some_advice, need_deep_support, completed</t>
  </si>
  <si>
    <t>Panel Recommendation</t>
  </si>
  <si>
    <t>proceed, hold, revisit_later (Core/Select) | proceed, hold (Prime)</t>
  </si>
  <si>
    <t>SCALE Scorecard Rating</t>
  </si>
  <si>
    <t>Green, Yellow, Red</t>
  </si>
  <si>
    <t>SCALE Dimensions</t>
  </si>
  <si>
    <t>Size, Sector, Capital, Ambition, Leadership, Jobs/Employment Generation Potential, Venture Clarity</t>
  </si>
  <si>
    <t>Screening Status</t>
  </si>
  <si>
    <t>Submitted, Under Review, With VP/VM, Committee Review, Approved, Rejected</t>
  </si>
  <si>
    <t>Programs</t>
  </si>
  <si>
    <t>Accelerate Prime, Accelerate Core, Accelerate Select, Ignite, Liftoff</t>
  </si>
  <si>
    <t>KPI Status</t>
  </si>
  <si>
    <t>Grey (Not Started Yet), Green (On Track), Amber (Needs Attention), Red (At Risk)</t>
  </si>
  <si>
    <t>Growth Venture Types (Prime)</t>
  </si>
  <si>
    <t>Expand to New Markets - Domestic, Expand to New Markets - Exports, Enable a new Sales channel, Introduce a new Product</t>
  </si>
  <si>
    <t>Roadmap Support Status</t>
  </si>
  <si>
    <t>Need Deep Support, Need Some Guidance, Do Not Need Help</t>
  </si>
  <si>
    <t>Venture Name *</t>
  </si>
  <si>
    <t>Founder Name *</t>
  </si>
  <si>
    <t>Founder Email *</t>
  </si>
  <si>
    <t>Founder Phone</t>
  </si>
  <si>
    <t>Founder Designation</t>
  </si>
  <si>
    <t>Referred By</t>
  </si>
  <si>
    <t>City *</t>
  </si>
  <si>
    <t>State</t>
  </si>
  <si>
    <t>Company Type</t>
  </si>
  <si>
    <t>Registered Company Name</t>
  </si>
  <si>
    <t>What Do You Sell (Product/Service)</t>
  </si>
  <si>
    <t>Who Do You Sell To (Target Segment)</t>
  </si>
  <si>
    <t>Which Regions Do You Sell To</t>
  </si>
  <si>
    <t>Full-Time Employees</t>
  </si>
  <si>
    <t>Revenue Last 12 Months (INR Cr)</t>
  </si>
  <si>
    <t>Growth Focus (product / segment / geography)</t>
  </si>
  <si>
    <t>New Product or Service Description</t>
  </si>
  <si>
    <t>New Target Customer Description</t>
  </si>
  <si>
    <t>New Geography Description</t>
  </si>
  <si>
    <t>Revenue Potential 3Y (INR Cr)</t>
  </si>
  <si>
    <t>Min Investment Required (INR Cr)</t>
  </si>
  <si>
    <t>Incremental Hiring Planned</t>
  </si>
  <si>
    <t>Blockers / Challenges</t>
  </si>
  <si>
    <t>Support Request Description</t>
  </si>
  <si>
    <t>Corporate Presentation URL</t>
  </si>
  <si>
    <t>Stream: Product Status</t>
  </si>
  <si>
    <t>Stream: Go-To-Market Status</t>
  </si>
  <si>
    <t>Stream: Capital Planning Status</t>
  </si>
  <si>
    <t>Stream: Team Status</t>
  </si>
  <si>
    <t>Stream: Supply Chain Status</t>
  </si>
  <si>
    <t>Stream: Operations Status</t>
  </si>
  <si>
    <t>Siddhi Group Business</t>
  </si>
  <si>
    <t>Prashant R.Gandhi</t>
  </si>
  <si>
    <t>prg@siddhiindia.com</t>
  </si>
  <si>
    <t>Partner</t>
  </si>
  <si>
    <t>Association Connect/ Roundtable Discussion</t>
  </si>
  <si>
    <t>Ahmedabad</t>
  </si>
  <si>
    <t>Gujarat</t>
  </si>
  <si>
    <t>Group of companies</t>
  </si>
  <si>
    <t>Siddhi Engineers</t>
  </si>
  <si>
    <t>Patented sustainable bobbins &amp; age-hardened cheese tubes</t>
  </si>
  <si>
    <t>Defense projects, domestic spinning mills</t>
  </si>
  <si>
    <t>Primarily India (defense + textile base)</t>
  </si>
  <si>
    <t>segment; geography</t>
  </si>
  <si>
    <t>New Commercial Roll out of existing Products</t>
  </si>
  <si>
    <t>Automotive OEMs, Commercial Vehicles, and Electric Vehicles (EVs)</t>
  </si>
  <si>
    <t>Expand Exports</t>
  </si>
  <si>
    <t>NA</t>
  </si>
  <si>
    <t>Need some guidance</t>
  </si>
  <si>
    <t>Need deep support</t>
  </si>
  <si>
    <t>Reckon Diagnostic Business</t>
  </si>
  <si>
    <t>Payal Patel</t>
  </si>
  <si>
    <t>payal@reckondiagnostics.com</t>
  </si>
  <si>
    <t>Director</t>
  </si>
  <si>
    <t>Vadodara</t>
  </si>
  <si>
    <t>pvt ltd</t>
  </si>
  <si>
    <t xml:space="preserve">Reckon Diagnostics Pvt. Ltd.
</t>
  </si>
  <si>
    <t>RTD (Rapid Test Devices), Serology tests, IFA (Immunofluorescence), Clinical Chemistry Reagents, and Instrumentation.</t>
  </si>
  <si>
    <t>Retail (medical labs), Government Institutions (tenders), OEM clients, and Exports.</t>
  </si>
  <si>
    <t>India, West Africa, Nepal, and Vietnam.</t>
  </si>
  <si>
    <t>CLIA (Chemiluminescence Immunoassays), advanced Point-of-Care (POC) devices for cardiac and cancer markers, and exploring Over-The-Counter (OTC) lifestyle testing products</t>
  </si>
  <si>
    <t>B2B</t>
  </si>
  <si>
    <t>Turkey, EU, Indonesia, Thailand, Vietnam</t>
  </si>
  <si>
    <t>Amsol industries private limited Business</t>
  </si>
  <si>
    <t xml:space="preserve">Kevin  Thumar </t>
  </si>
  <si>
    <t>kevinthumar1994@gmail.com</t>
  </si>
  <si>
    <t>97253 17223</t>
  </si>
  <si>
    <t>Owner</t>
  </si>
  <si>
    <t>Rajkot</t>
  </si>
  <si>
    <t>Amsol Industries Private Limited</t>
  </si>
  <si>
    <t>Automotive and industrial components</t>
  </si>
  <si>
    <t>Global Tier-1 automotive &amp; industrial OEMs</t>
  </si>
  <si>
    <t>India, US, EU</t>
  </si>
  <si>
    <t>Proprietary branded products and IPs</t>
  </si>
  <si>
    <t xml:space="preserve">New OEMs in in US + EU </t>
  </si>
  <si>
    <t>Domestic Indian Market</t>
  </si>
  <si>
    <t>Kadillac Chemicals Pvt Ltd Business</t>
  </si>
  <si>
    <t>LAKSHAK PATEL</t>
  </si>
  <si>
    <t>lakshak@kadillac.com</t>
  </si>
  <si>
    <t>CEO</t>
  </si>
  <si>
    <t xml:space="preserve"> Kadillac Chemicals Pvt Ltd</t>
  </si>
  <si>
    <t>Commodity benzyl intermediates</t>
  </si>
  <si>
    <t>Agro-Chemicals + Oilfield Mining</t>
  </si>
  <si>
    <t>India, USA, Europe, and Southeast Asia</t>
  </si>
  <si>
    <t>product; segment</t>
  </si>
  <si>
    <t>High-purity specialty benzyl derivatives (e.g., Pharma-grade Benzyl Alcohol, Benzyl Acetate) + bundled aggregation</t>
  </si>
  <si>
    <t>New Pharma + Fragrance &amp; Flavor Clients</t>
  </si>
  <si>
    <t>Exsting Geographies</t>
  </si>
  <si>
    <t>Strengthening the operational systems and processes.
Building leadership and technical talent 
Sourcing financial resources.
Roadmap including compliance to enter new international geographies.</t>
  </si>
  <si>
    <t>Ramprasad Tubes and Bars Pvt Ltd  Business</t>
  </si>
  <si>
    <t>Harshavardhanan</t>
  </si>
  <si>
    <t>hvardhanan@gmail.com</t>
  </si>
  <si>
    <t>Kedar</t>
  </si>
  <si>
    <t>Coimbatore</t>
  </si>
  <si>
    <t>Tamil Nadu</t>
  </si>
  <si>
    <t>RAMPRASAD TUBES AND BARS (P) LTD</t>
  </si>
  <si>
    <t>Cold-drawn bright bars, flats, tubes (CDS &amp; ERW), and finished machined components</t>
  </si>
  <si>
    <t>Textile Machinery OEMs and Motor Pump Manufacturers</t>
  </si>
  <si>
    <t>South India (Tamil Nadu, Karnataka)</t>
  </si>
  <si>
    <t>product; geography</t>
  </si>
  <si>
    <t>Value-added finished machined components, special precision cold-drawn profiles</t>
  </si>
  <si>
    <t xml:space="preserve">Automotive, Electric Vehicles (EV), Oil &amp; Gas </t>
  </si>
  <si>
    <t>International: EU/US OEMs looking for "China+1" suppliers for precision tubes</t>
  </si>
  <si>
    <t>MIPA Industries Business</t>
  </si>
  <si>
    <t xml:space="preserve">Prakashchandra Shyamkrishna Rijal </t>
  </si>
  <si>
    <t>mipaindustries@gmail.com</t>
  </si>
  <si>
    <t>MD</t>
  </si>
  <si>
    <t>Entie</t>
  </si>
  <si>
    <t>Pune</t>
  </si>
  <si>
    <t>Maharashtra</t>
  </si>
  <si>
    <t>MIPA Industries Private Limited</t>
  </si>
  <si>
    <t>Geomembrane Pond Liners</t>
  </si>
  <si>
    <t>B2B agricultural distributors and dealers + B2G
agriculture, aquaculture, and water conservation sectors</t>
  </si>
  <si>
    <t>Maharashtra and Rajasthan.</t>
  </si>
  <si>
    <t>premium mulch films, aquaculture liners, and drip irrigation systems</t>
  </si>
  <si>
    <t>commercial aquaculture businesses, EPC contractors</t>
  </si>
  <si>
    <t>South Asia, the Middle East, and Africa</t>
  </si>
  <si>
    <r>
      <rPr>
        <sz val="10"/>
        <color rgb="FF000000"/>
        <rFont val="Aptos Narrow"/>
      </rPr>
      <t xml:space="preserve">GoWelMart </t>
    </r>
    <r>
      <rPr>
        <b/>
        <sz val="10"/>
        <color rgb="FF000000"/>
        <rFont val="Aptos Narrow"/>
      </rPr>
      <t>Business</t>
    </r>
  </si>
  <si>
    <t>Ebrahim Sha</t>
  </si>
  <si>
    <t>ebrahim@gowelmart.com</t>
  </si>
  <si>
    <t>Founder</t>
  </si>
  <si>
    <t>Adarsh</t>
  </si>
  <si>
    <t>Chennai</t>
  </si>
  <si>
    <t>Go Wel Mart Private Limited</t>
  </si>
  <si>
    <t>Branded Mobile Phones (85%) and Mobile Accessories (15%)</t>
  </si>
  <si>
    <t xml:space="preserve">B2B, Level B and C mid-tier retailers (General Trade) </t>
  </si>
  <si>
    <t>Tamil Nadu. 34 Districts</t>
  </si>
  <si>
    <t>high-margin (20-25%) private-label OEM accessories (like neckbands, earbuds, and power banks)</t>
  </si>
  <si>
    <t>international B2B bulk buyers and distributors</t>
  </si>
  <si>
    <t>Middle East, Africa, and Europe (EMEA)</t>
  </si>
  <si>
    <t>SMB requires support to identify partners in other states and in the middle east. In addition, with the intent to go IPO in the next 3 years, the SMB will require support in auditing internal systems and processes prior to IPO, and an IPO consultant to prepare for the listing.</t>
  </si>
  <si>
    <t>Unicon Engineers Business</t>
  </si>
  <si>
    <t>P Ponram</t>
  </si>
  <si>
    <t>ceo@uniconinter.com |nandhini@uniconinter.com| ram@uniconengineers.com</t>
  </si>
  <si>
    <t>CEO &amp; Founder</t>
  </si>
  <si>
    <t>Bala</t>
  </si>
  <si>
    <t>Unicon Engineers</t>
  </si>
  <si>
    <t>Electrostatic Precipitator (ESP)</t>
  </si>
  <si>
    <t>B2B, selling to industrial EPCs, OEMs.
Iron and Steel Industry</t>
  </si>
  <si>
    <t>Domestic - India. PAN-India</t>
  </si>
  <si>
    <t>Flue Gas Conditioning systems tailored for the Waste-to-Energy market</t>
  </si>
  <si>
    <t>Waste-to-Energy (WtE), Pharmaceuticals, Food processing, and Bio-CNG</t>
  </si>
  <si>
    <t xml:space="preserve">Malaysia, South America (Colombia), and Africa, and actively penetrating Southeast Asia and the Middle East </t>
  </si>
  <si>
    <t>Setting up and streamlining of processes - SOPs.
Review of KRAs and KPIs.
Organisation Structure review.
Ideal PM Practices
Financial Management - Cashflow management</t>
  </si>
  <si>
    <t>Suman Exports Business</t>
  </si>
  <si>
    <t>Jiten Agarwal</t>
  </si>
  <si>
    <t>Spices@sumanexport.in</t>
  </si>
  <si>
    <t>Mehsana</t>
  </si>
  <si>
    <t>Proprietor</t>
  </si>
  <si>
    <t>Suman Exports Pvt Ltd</t>
  </si>
  <si>
    <t>Commodity spice trade via brokers; local/domestic channel, General trade and local wholesale traders.</t>
  </si>
  <si>
    <t xml:space="preserve">India </t>
  </si>
  <si>
    <t>Higher-margin ground powders + spice blends (export-ready)</t>
  </si>
  <si>
    <t>Global retail consumers and specialized food service providers.</t>
  </si>
  <si>
    <t>Export countries to be identified</t>
  </si>
  <si>
    <t>Shree Multi Sticks &amp; labels Business</t>
  </si>
  <si>
    <t>Mr. Pramod Dongre</t>
  </si>
  <si>
    <t>pramod@shreemultigroups.com</t>
  </si>
  <si>
    <t>Satabadi</t>
  </si>
  <si>
    <t>Shree Multi Sticks &amp; Labels Private Limited
.</t>
  </si>
  <si>
    <t>barcode labels, blank ribbons, and printed product labels</t>
  </si>
  <si>
    <t>FMCG sector, Food &amp; Beverage</t>
  </si>
  <si>
    <t>Western and Central India (Maharashtra, Gujarat, and Madhya Pradesh)</t>
  </si>
  <si>
    <t>corrugated packaging and tape manufacturing plants</t>
  </si>
  <si>
    <t>E-commerce &amp; Logistics sector</t>
  </si>
  <si>
    <t>Middle East (UAE, Oman) and East Africa (Zambia, Tanzania, Kenya, Rwanda)</t>
  </si>
  <si>
    <t>PB Tractors Spares Pvt ltd</t>
  </si>
  <si>
    <t>Keval Gamdha</t>
  </si>
  <si>
    <t>Pbtractor955@gmail.com</t>
  </si>
  <si>
    <t xml:space="preserve">SME Reference </t>
  </si>
  <si>
    <t>Pvt ltd</t>
  </si>
  <si>
    <t>P B Tractors Spares Pvt. Ltd.</t>
  </si>
  <si>
    <t>Metal fabrication &amp; agro-related components</t>
  </si>
  <si>
    <t>Domestic agro-supply / regional fabrication customers</t>
  </si>
  <si>
    <t>India</t>
  </si>
  <si>
    <t>geography</t>
  </si>
  <si>
    <t>High-Precision Components:</t>
  </si>
  <si>
    <t>Industrial buyers + global OEM supply chains (e.g., JCB-grade components)</t>
  </si>
  <si>
    <t>Europe (Germany) + global export markets (incl. JCB supply chain)</t>
  </si>
  <si>
    <t>Screening Manager Name *</t>
  </si>
  <si>
    <t>Screening Manager Email *</t>
  </si>
  <si>
    <t>Screening Date *</t>
  </si>
  <si>
    <t>Screening Manager Notes (Optional)</t>
  </si>
  <si>
    <t>SCALE: Size – Assessment</t>
  </si>
  <si>
    <t>SCALE: Size – Rating (Green/Yellow/Red)</t>
  </si>
  <si>
    <t>SCALE: Size – Brief</t>
  </si>
  <si>
    <t>SCALE: Sector – Assessment</t>
  </si>
  <si>
    <t>SCALE: Sector – Rating (Green/Yellow/Red)</t>
  </si>
  <si>
    <t>SCALE: Sector – Brief</t>
  </si>
  <si>
    <t>SCALE: Capital – Assessment</t>
  </si>
  <si>
    <t>SCALE: Capital – Rating (Green/Yellow/Red)</t>
  </si>
  <si>
    <t>SCALE: Capital – Brief</t>
  </si>
  <si>
    <t>SCALE: Ambition – Assessment</t>
  </si>
  <si>
    <t>SCALE: Ambition – Rating (Green/Yellow/Red)</t>
  </si>
  <si>
    <t>SCALE: Ambition – Brief</t>
  </si>
  <si>
    <t>SCALE: Leadership – Assessment</t>
  </si>
  <si>
    <t>SCALE: Leadership – Rating (Green/Yellow/Red)</t>
  </si>
  <si>
    <t>SCALE: Leadership – Brief</t>
  </si>
  <si>
    <t>SCALE: Jobs / Employment Generation Potential – Assessment</t>
  </si>
  <si>
    <t>SCALE: Jobs / Employment Generation Potential – Rating (Green/Yellow/Red)</t>
  </si>
  <si>
    <t>SCALE: Jobs / Employment Generation Potential – Brief</t>
  </si>
  <si>
    <t>SCALE: Venture Clarity – Assessment</t>
  </si>
  <si>
    <t>SCALE: Venture Clarity – Rating (Green/Yellow/Red)</t>
  </si>
  <si>
    <t>SCALE: Venture Clarity – Brief</t>
  </si>
  <si>
    <t>Current Status</t>
  </si>
  <si>
    <t>Recommended Program *</t>
  </si>
  <si>
    <t>Selected Panelist</t>
  </si>
  <si>
    <t>Recommendation Comments</t>
  </si>
  <si>
    <t>Siddhi Group</t>
  </si>
  <si>
    <t>Shruthi TS</t>
  </si>
  <si>
    <t>shruthi.ts@wadhwanifoundation.org</t>
  </si>
  <si>
    <t>Annual revenue of ₹18 Crore and a total of 105 employees (30 white-collar, 75 blue-collar)</t>
  </si>
  <si>
    <t xml:space="preserve">Annual revenue of ₹18 Crore and a total of 105 employees (30 white-collar, 75 blue-collar)
</t>
  </si>
  <si>
    <t>Yellow</t>
  </si>
  <si>
    <t xml:space="preserve">	
The company generated ₹18 Crore in revenue with a workforce of 105 people</t>
  </si>
  <si>
    <t xml:space="preserve">Manufacturing / Engineering Manufacturing
</t>
  </si>
  <si>
    <t xml:space="preserve">	
The business is primarily involved in manufacturing Aluminium Precision tubes and Yarn carriers</t>
  </si>
  <si>
    <t>The company aims to double its current revenue by the FY28 target</t>
  </si>
  <si>
    <t>The company experienced more than a 10% revenue increase in the last fiscal year and aspires to achieve a 100% to 200% increase in current revenue</t>
  </si>
  <si>
    <t>Led by Business Owner Prashant R. Gandhi</t>
  </si>
  <si>
    <t xml:space="preserve">Prashant R. Gandhi, Business Owner, submitted the application
</t>
  </si>
  <si>
    <t xml:space="preserve">The company currently supports 105 jobs, split between 30 office-based/white-collar and 75 plant-based/blue-collar employees
</t>
  </si>
  <si>
    <t xml:space="preserve">The expansion idea involves introducing a new product line or service offering
</t>
  </si>
  <si>
    <t>The company has researched and developed various products and is taking initial steps (market research, financial planning) to scale up
. They report being "Ready with minor adjustments needed" to execute the idea</t>
  </si>
  <si>
    <t>Core</t>
  </si>
  <si>
    <t>Sanjay Kulkarni</t>
  </si>
  <si>
    <t>Approved</t>
  </si>
  <si>
    <t>Reckon Diagnostic</t>
  </si>
  <si>
    <t>Current revenue is ₹25,94,73,192 (approx. ₹26 crore).</t>
  </si>
  <si>
    <t>Manufacturing Pharmaceuticals and Healthcare, producing a wide range of clinical chemistry reagents, rapid test kits, and IVD instruments.</t>
  </si>
  <si>
    <t>The company is actively realigning its financial structure to enable additional external capital infusion.</t>
  </si>
  <si>
    <t>Ambition is to triple or achieve more than a 200% increase in current revenue (reaching ₹100 crore by FY28).</t>
  </si>
  <si>
    <t>Undergoing a comprehensive restructuring of the organization from the ground up, including HR, Accounts, and Sales, and infusing "young blood" into all departments.</t>
  </si>
  <si>
    <t>Current data indicates figures of 171 and 98, alongside stated goals to add ~50 white-collar and 100–150 blue-collar employees as they scale production capacity to meet growing demand.</t>
  </si>
  <si>
    <t>Clear roadmap to expand sales to new regions/countries, introduce lean manufacturing practices to optimize efficiency, and reduce waste. Noted as "Ready with minor adjustments needed".</t>
  </si>
  <si>
    <t>Initial steps taken (e.g., market research, financial planning).</t>
  </si>
  <si>
    <t>Amsol industries private limited</t>
  </si>
  <si>
    <t>22 Crore (based on raw company data provided)</t>
  </si>
  <si>
    <t>Manufacturing, Engineering Manufacturing</t>
  </si>
  <si>
    <t>Aiming to triple or more than current revenue (&gt;200% increase). Planning to expand manufacturing facilities and open an overseas marketing office</t>
  </si>
  <si>
    <t>Provides multidisciplinary manufacturing solutions and complex supply chain solutions. Initially an asset-light business model, now planning backward integration. Experts in developing metal, plastic, and rubber engineering components</t>
  </si>
  <si>
    <t>Just started planning / Not ready</t>
  </si>
  <si>
    <t>Kadillac Chemicals Pvt Ltd</t>
  </si>
  <si>
    <t>The business is cyclical. Key challenges identified are recruitment, employee retention, and the need for deep market research. The company wants to scale 3X by manufacturing specialty chemicals via forward integration and acting as an aggregator for European clients.</t>
  </si>
  <si>
    <t>FY25 Annual Revenue is ~₹60 Cr
. Total workforce currently indicated as 10 white-collar and 100 blue-collar employees</t>
  </si>
  <si>
    <t>Small-size lean organization running on ~₹60 Cr revenue</t>
  </si>
  <si>
    <t>Manufacturing – Chemicals and Petrochemicals</t>
  </si>
  <si>
    <t>Manufacturer of Benzyl Derivatives (currently Benzyl Chloride and Benzaldehyde) serving Agro-Chemicals, Pharma, Food &amp; Flavor, and Fragrances</t>
  </si>
  <si>
    <t>100% bootstrapped, debt-free, and runs on family-owned funds.</t>
  </si>
  <si>
    <t>Zero debt. The company has its own kitty to finance the estimated expansion cost.</t>
  </si>
  <si>
    <t>Revenue aspirations for 2028 are to triple or more than the current revenue</t>
  </si>
  <si>
    <t>Brief
High ambition driven by introducing a new product line in the direction of forward integration and reaching broader markets with existing products
. They aim for a 100% to 200% increase in current revenue from this expansion</t>
  </si>
  <si>
    <t>Led by business owner Lakshak Kantilal Patel
. Lean organization needing KPIs/KRAs.</t>
  </si>
  <si>
    <t>Requires leadership strengthening. Plans to hire a production head, export compliance personnel, and build a sales team to allow the owner to focus on scaling.</t>
  </si>
  <si>
    <t>Addition of 4 to 5 white-collar and 15 to 20 blue-collar jobs over the next few years.</t>
  </si>
  <si>
    <t>Lean growth strategy; estimated to increase headcount by roughly 20-25% as they scale.</t>
  </si>
  <si>
    <t>he company has a specific business expansion idea for forward integration
, but self-assesses as currently "Not ready" to execute the idea</t>
  </si>
  <si>
    <t>Clear vision to pivot to specialty value-added products, but they have "Just started planning" the expansion
. Needs better market analysis, CRM/ERP integration, and process automation to improve readiness.</t>
  </si>
  <si>
    <t xml:space="preserve">	
Just started planning the expansion idea
</t>
  </si>
  <si>
    <t>Panelist/VP recommends: &lt;br&gt;1. Exploring a debt-equity model to improve return on investment. &lt;br&gt;2. Establishing KPIs, KRAs, and fixed median-salaries with performance pay to improve employee retention. &lt;br&gt;3. Upgrading from Excel/Tally to modern ERP and CRM systems. &lt;br&gt;4. Identifying a European partner with REACH registration for export compliance.</t>
  </si>
  <si>
    <t>Ramprasad Tubes and Bars Pvt Ltd</t>
  </si>
  <si>
    <t>Current annual revenue is approximately ₹55-60 Crores.</t>
  </si>
  <si>
    <t>Green</t>
  </si>
  <si>
    <t>The venture operates at a stable and substantial current scale (55-60 Cr ARR) and has significant underutilized machinery and capacity ready for growth.</t>
  </si>
  <si>
    <t>Metal and Machinery Manufacturing</t>
  </si>
  <si>
    <t>The company manufactures tubes, rods, flats, and profiles serving essential B2B industries like textiles, oil and gas, pumps, and hydraulics.</t>
  </si>
  <si>
    <t>Financially stable with strong internal accruals.</t>
  </si>
  <si>
    <t>The business has a strong balance sheet with zero dependency on external term loans, planning to fund its next ₹5-6 Cr CapEx entirely through internal funds.</t>
  </si>
  <si>
    <t>Target to double to triple current revenue.</t>
  </si>
  <si>
    <t>Highly ambitious goal to scale from ~₹60 Cr to ₹180-200 Cr over the next 3 years by pivoting toward high-precision pneumatic/hydraulic import substitution.</t>
  </si>
  <si>
    <t>Highly involved founders; urgent need for second-line management.</t>
  </si>
  <si>
    <t>The founders are deeply involved in day-to-day operations and require strategic hiring of mid-level staff to unblock GTM and operational scaling bottlenecks.</t>
  </si>
  <si>
    <t>Currently 180 employees (30 white-collar, 150 blue-collar); expecting no significant change.</t>
  </si>
  <si>
    <t>Red</t>
  </si>
  <si>
    <t>Low employment generation potential. The company's expansion relies heavily on automation to actively reduce reliance on direct labor, projecting only ~10-25 new additions for a 3X revenue jump.</t>
  </si>
  <si>
    <t>Clear understanding of current limitations and future pivot.</t>
  </si>
  <si>
    <t>Strong strategic clarity regarding the saturation of their legacy textile market and the exact value-added product lines (precision components) required for future growth.</t>
  </si>
  <si>
    <t>Select</t>
  </si>
  <si>
    <t>MIPA Industries</t>
  </si>
  <si>
    <t>Venkat PS</t>
  </si>
  <si>
    <t>Go Wel Mart Private Limited (GoWelMart)</t>
  </si>
  <si>
    <t>Current Revenue: 70 Crore; Projected Revenue: 120 Crore</t>
  </si>
  <si>
    <t>Trading/ Retailing/ Wholesaling - Electronics and Electrical Equipment</t>
  </si>
  <si>
    <t>Operates a B2B e-commerce platform facilitating stock supply for electronics and mobile retailers</t>
  </si>
  <si>
    <t>NA (From prior conversation: Requires 5 Cr working capital for OEM expansion)</t>
  </si>
  <si>
    <t>Triple or more than the current revenue (More than 200% increase)</t>
  </si>
  <si>
    <t>Introducing new product lines in existing markets and scaling the existing business into new geographical regions without diversifying into another industry</t>
  </si>
  <si>
    <t>NA (From prior conversation: Led by Founder Ebrahim Sha S K)</t>
  </si>
  <si>
    <t>Decreased by more than 10%</t>
  </si>
  <si>
    <t>Currently has 30+ and 30+ employees. (From prior conversation: The founder's strategy focuses on keeping the team lean rather than mass hiring to achieve scale).</t>
  </si>
  <si>
    <t>The venture's current revenue is 90 Crores.</t>
  </si>
  <si>
    <t>Manufacturing Engineering, specifically focusing on green manufacturing, electrostatic precipitators, bag houses, pneumatic conveying systems, gaseous emission control, valves, and retrofits.</t>
  </si>
  <si>
    <t>The venture aims to double its current revenue (a 100% to 200% increase) between FY 2026-27 and 2030-31. This will be achieved by introducing additional products to existing markets, increasing market share, and expanding the customer base to international markets.</t>
  </si>
  <si>
    <t>The company currently employs 150 people. Job growth is projected to increase by 0-10%.</t>
  </si>
  <si>
    <t>Initial steps have been taken, including market research and financial planning. The venture is "somewhat ready" for its expansion.</t>
  </si>
  <si>
    <t>Suman Exports.</t>
  </si>
  <si>
    <t>₹90 Cr current revenue (initially reported as ₹68 Cr in the brief).</t>
  </si>
  <si>
    <t>The company clocked ₹90 Cr in FY 24-25, representing a &gt;10% growth over the previous year, with an aim to double the current revenue.</t>
  </si>
  <si>
    <t>Manufacturing / Food and Beverage Processing.</t>
  </si>
  <si>
    <t>The company is an APEDA-registered spices exporter operating 4 in-house manufacturing facilities.</t>
  </si>
  <si>
    <t>NA (The company has invested in a new two-ton-per-hour facility, but specific capital figures are not available in the sources).</t>
  </si>
  <si>
    <t>100% to 200% increase in current revenue.</t>
  </si>
  <si>
    <t>High ambition to double revenue (reaching ₹135–150 Cr by FY28) by expanding to unreached regions including EU countries, USA, South America, and Africa.</t>
  </si>
  <si>
    <t>Owner-led (Jiten Agarwal).</t>
  </si>
  <si>
    <t>The founder is highly experienced but is currently a bottleneck; the company requires organizational restructuring and leadership team building to delegate responsibilities effectively.</t>
  </si>
  <si>
    <t>15 total employees in the base period (5 white-collar, 10 blue-collar).</t>
  </si>
  <si>
    <t>Moderate employment generation potential. Recently added 3 blue-collar workers (totaling 18), but faces significant geographical challenges in hiring and retaining educated white-collar professionals in their small-town location.</t>
  </si>
  <si>
    <t>Ready with minor adjustments needed.</t>
  </si>
  <si>
    <t>The growth strategy is clear: operationalize the new facility, secure EU and US FDA compliance, and shift towards institutional buyers and private labeling in regulated markets.</t>
  </si>
  <si>
    <t>Shree Multi Sticks &amp; Labels Private Limited</t>
  </si>
  <si>
    <t>The company operates out of a 10,000 sq. ft. facility with a current revenue baseline of ₹30–38 crore. It is transitioning into a larger market leader, tracking to close FY26 at an estimated ₹45–50 crore.</t>
  </si>
  <si>
    <t>The venture demonstrates solid mid-market scale with strong momentum toward a ₹50 crore threshold, positioning it as a significant player in the Pune industrial cluster.</t>
  </si>
  <si>
    <t>Operates in the Indian print label and packaging market, heavily anchored by F&amp;B, Logistics, and Pharma. The print label market is highly lucrative, valued at USD 2.46 billion in 2025 and projected to grow at a 13.29% CAGR to USD 4.59 billion by 2030.</t>
  </si>
  <si>
    <t>The business operates in a rapidly expanding sector fueled by FMCG premiumization, e-commerce connected logistics, and increasing regulatory compliance requirements.</t>
  </si>
  <si>
    <t>Scaling requires strategic capital expenditure (CAPEX) for transitioning to digital printing technology (e.g., Liquid-Toner Electrophotography) and automated finishing systems to handle short runs and premium customization. The venture also faces working capital requirements to manage the Cash Conversion Cycle, inventory, and raw material price volatility.</t>
  </si>
  <si>
    <t>While the business is profitable, the ambitious scale-up to ₹50–125 crore necessitates heavy CAPEX for new digital machinery and stringent working capital management.</t>
  </si>
  <si>
    <t>The company has set an ambitious three-year revenue target of ₹125 crore. Growth strategies include geographic diversification by shifting from indirect to direct exports in the Middle East and Africa, and penetrating new business lines like corrugated packaging and tapes.</t>
  </si>
  <si>
    <t>Highly ambitious roadmap with clear multi-segment diversification (corrugated/tapes) and a strategic pivot to lucrative direct export models utilizing Free Trade Agreements.</t>
  </si>
  <si>
    <t>The venture is currently founder-driven but is approaching a structural bottleneck typical of the ₹10–50 crore phase. To institutionalize, the company must transition from centralized decision-making to a functional matrix organization.</t>
  </si>
  <si>
    <t>The company is overly dependent on the founder and urgently needs to develop a professional management hierarchy, including a VP of Operations, QA Manager, and Finance Manager, to de-risk its execution capabilities.</t>
  </si>
  <si>
    <t>The current workforce stands at approximately 75–85 employees. The planned multi-location expansion and introduction of new business lines is projected to create an additional 75 direct jobs and 10–15 indirect jobs over the next three years.</t>
  </si>
  <si>
    <t>Excellent job creation potential; the venture is poised to effectively double its headcount by creating around 90 new direct and indirect roles through its aggressive expansion plans.</t>
  </si>
  <si>
    <t>The company has a highly defined "Integrated Offering" strategy, pairing AIDC hardware (printers/scanners) with recurring consumables to create high client switching costs. Furthermore, it has a clear prioritization matrix focusing on the Food and Logistics sectors for immediate investment.</t>
  </si>
  <si>
    <t>The strategic direction is extremely clear, leveraging hardware synergy to anchor supply chains while strategically prioritizing immediate, scalable market segments over capital-intensive ones.</t>
  </si>
  <si>
    <t xml:space="preserve">P B Tractors Spares Pvt. Ltd. </t>
  </si>
  <si>
    <t>19/11/2025 (Assessment)</t>
  </si>
  <si>
    <t>Annual Revenue: ~₹22 Cr (FY25); Employees: 70</t>
  </si>
  <si>
    <t>Manufacturing - Metal and Machinery Manufacturing</t>
  </si>
  <si>
    <t>Trusted and leading supplier of tractor parts and agricultural machinery spares</t>
  </si>
  <si>
    <t>Financial Readiness Rated 4</t>
  </si>
  <si>
    <t>Doing fine on working capital. Current factory can manage ₹28-30 Crores turnover; no new investment on machines needed till 2028</t>
  </si>
  <si>
    <t>Feasibility &amp; Market Opportunity Rated 4</t>
  </si>
  <si>
    <t>Target to reach ₹31 Cr revenue in 3 years by introducing new products for tractors and JCBs, and expanding export sales</t>
  </si>
  <si>
    <t>Leadership Commitment &amp; Mindset Rated 4</t>
  </si>
  <si>
    <t>Leadership appears to be invested in the expansion plan, is receptive to guidance and mentorship, and has a good team capability</t>
  </si>
  <si>
    <t>Around 25 direct jobs estimated</t>
  </si>
  <si>
    <t>10 white-collared and 15 blue-collared jobs likely to get created. In line with the program objectives</t>
  </si>
  <si>
    <t>Clarity of Expansion Idea Rated 3</t>
  </si>
  <si>
    <t>The leadership has a fair idea of the expansion idea</t>
  </si>
  <si>
    <t>Ajay Bhatkal</t>
  </si>
  <si>
    <t>Panel Expert Name *</t>
  </si>
  <si>
    <t>Panel Date *</t>
  </si>
  <si>
    <t>SME Name</t>
  </si>
  <si>
    <t>SCALE: Size – App Rating</t>
  </si>
  <si>
    <t>SCALE: Size – Panel Rating (Green/Yellow/Red)</t>
  </si>
  <si>
    <t>SCALE: Size – Panel Brief</t>
  </si>
  <si>
    <t>SCALE: Size – Remarks</t>
  </si>
  <si>
    <t>SCALE: Sector – App Rating</t>
  </si>
  <si>
    <t>SCALE: Sector – Panel Rating (Green/Yellow/Red)</t>
  </si>
  <si>
    <t>SCALE: Sector – Panel Brief</t>
  </si>
  <si>
    <t>SCALE: Sector – Remarks</t>
  </si>
  <si>
    <t>SCALE: Capital – App Rating</t>
  </si>
  <si>
    <t>SCALE: Capital – Panel Rating (Green/Yellow/Red)</t>
  </si>
  <si>
    <t>SCALE: Capital – Panel Brief</t>
  </si>
  <si>
    <t>SCALE: Capital – Remarks</t>
  </si>
  <si>
    <t>SCALE: Ambition – App Rating</t>
  </si>
  <si>
    <t>SCALE: Ambition – Panel Rating (Green/Yellow/Red)</t>
  </si>
  <si>
    <t>SCALE: Ambition – Panel Brief</t>
  </si>
  <si>
    <t>SCALE: Ambition – Remarks</t>
  </si>
  <si>
    <t>SCALE: Leadership – App Rating</t>
  </si>
  <si>
    <t>SCALE: Leadership – Panel Rating (Green/Yellow/Red)</t>
  </si>
  <si>
    <t>SCALE: Leadership – Panel Brief</t>
  </si>
  <si>
    <t>SCALE: Leadership – Remarks</t>
  </si>
  <si>
    <t>SCALE: Jobs / Employment Generation Potential – App Rating</t>
  </si>
  <si>
    <t>SCALE: Jobs / Employment Generation Potential – Panel Rating (Green/Yellow/Red)</t>
  </si>
  <si>
    <t>SCALE: Jobs / Employment Generation Potential – Panel Brief</t>
  </si>
  <si>
    <t>SCALE: Jobs / Employment Generation Potential – Remarks</t>
  </si>
  <si>
    <t>SCALE: Venture Clarity – App Rating</t>
  </si>
  <si>
    <t>SCALE: Venture Clarity – Panel Rating (Green/Yellow/Red)</t>
  </si>
  <si>
    <t>SCALE: Venture Clarity – Panel Brief</t>
  </si>
  <si>
    <t>SCALE: Venture Clarity – Remarks</t>
  </si>
  <si>
    <t>Gate Q1 (ALTERNATIVES): Can banks and investors provide the required support based o... (Yes/No)</t>
  </si>
  <si>
    <t>Gate Q1 Comments</t>
  </si>
  <si>
    <t>Gate Q2 (ALTERNATIVES): Are there other accelerators, consultants, or industry bodie... (Yes/No)</t>
  </si>
  <si>
    <t>Gate Q2 Comments</t>
  </si>
  <si>
    <t>Gate Q3 (MINDSET): Is the owner looking for and willing to take operational and... (Yes/No)</t>
  </si>
  <si>
    <t>Gate Q3 Comments</t>
  </si>
  <si>
    <t>Gate Q4 (MINDSET): Is the owner willing and open to fund growth sprints and inv... (Yes/No)</t>
  </si>
  <si>
    <t>Gate Q4 Comments</t>
  </si>
  <si>
    <t>Gate Q5 (RESOURCES): Does the owner's growth journey plan fit Wadhwani Foundation... (Yes/No)</t>
  </si>
  <si>
    <t>Gate Q5 Comments</t>
  </si>
  <si>
    <t>Gate Q6 (RESOURCES): Does the venture have the internal capacity (team, bandwidth... (Yes/No)</t>
  </si>
  <si>
    <t>Gate Q6 Comments</t>
  </si>
  <si>
    <t>Q1: Growth Venture Type *</t>
  </si>
  <si>
    <t>Q2: Describe the Growth Initiative of the Venture (in 1 line) *</t>
  </si>
  <si>
    <t>Q3: Business Model &amp; Growth Idea Clarity (1-5 rubric) *</t>
  </si>
  <si>
    <t>Q4: Historical Growth Trajectory (1-5 rubric) *</t>
  </si>
  <si>
    <t>Q5: Financial Readiness (1-5 rubric) *</t>
  </si>
  <si>
    <t>Q6: Team &amp; Leadership Depth (1-5 rubric) *</t>
  </si>
  <si>
    <t>Q7: Execution Seriousness (1-5 rubric) *</t>
  </si>
  <si>
    <t>Q8: Program Fit – Job Creation (estimate for 12-month program) *</t>
  </si>
  <si>
    <t>Q9: Annual Revenue (FY26-27) in INR Cr *</t>
  </si>
  <si>
    <t>Q10: Revenue Target (3-Year) from Expansion Idea + Assumptions *</t>
  </si>
  <si>
    <t>Final Recommendation (Yes / No) *</t>
  </si>
  <si>
    <t>Comments *</t>
  </si>
  <si>
    <t>Venture Partner Name *</t>
  </si>
  <si>
    <t>Program (Prime / Core / Select)</t>
  </si>
  <si>
    <t>Current Revenue (INR Cr)</t>
  </si>
  <si>
    <t>Incremental Revenue Target (INR Cr)</t>
  </si>
  <si>
    <t>Current Full-Time Employees</t>
  </si>
  <si>
    <t>Incremental Jobs Target</t>
  </si>
  <si>
    <t>Overall KPI Status</t>
  </si>
  <si>
    <t>Product: End Goal</t>
  </si>
  <si>
    <t>Product: Support Status</t>
  </si>
  <si>
    <t>Product: Status</t>
  </si>
  <si>
    <t>Product: Deliverable 1 Title</t>
  </si>
  <si>
    <t>Product: Deliverable 1 Owner</t>
  </si>
  <si>
    <t>Product: Deliverable 1 Start Date</t>
  </si>
  <si>
    <t>Product: Deliverable 1 End Date</t>
  </si>
  <si>
    <t>Product : Deliverable 1 Status</t>
  </si>
  <si>
    <t>Product: Deliverable 2 Title</t>
  </si>
  <si>
    <t>Product: Deliverable 2 Owner</t>
  </si>
  <si>
    <t>Product: Deliverable 2 Start Date</t>
  </si>
  <si>
    <t>Product: Deliverable 2 End Date</t>
  </si>
  <si>
    <t>Product: Deliverable 2 Status</t>
  </si>
  <si>
    <t>Product: Deliverable 3 Title</t>
  </si>
  <si>
    <t>Product: Deliverable 3 Owner</t>
  </si>
  <si>
    <t>Product: Deliverable 3 Start Date</t>
  </si>
  <si>
    <t>Product: Deliverable 3 End Date</t>
  </si>
  <si>
    <t>Product: Deliverable 3 Status</t>
  </si>
  <si>
    <t>Product: Deliverable 4 Title</t>
  </si>
  <si>
    <t>Product: Deliverable 4 Owner</t>
  </si>
  <si>
    <t>Product: Deliverable 4 Start Date</t>
  </si>
  <si>
    <t>Product: Deliverable 4 End Date</t>
  </si>
  <si>
    <t>Product: Deliverable 4 Status</t>
  </si>
  <si>
    <t>Product: Deliverable 5 Title</t>
  </si>
  <si>
    <t>Product: Deliverable 5 Owner</t>
  </si>
  <si>
    <t>Product: Deliverable 5 Start Date</t>
  </si>
  <si>
    <t>Product: Deliverable 5 End Date</t>
  </si>
  <si>
    <t>Product: Deliverable 5 Status</t>
  </si>
  <si>
    <t>GTM: End Goal</t>
  </si>
  <si>
    <t>GTM: Support Status</t>
  </si>
  <si>
    <t>GTM : Status</t>
  </si>
  <si>
    <t>GTM: Deliverable 1 Title</t>
  </si>
  <si>
    <t>GTM: Deliverable 1 Owner</t>
  </si>
  <si>
    <t>GTM: Deliverable 1 Start Date</t>
  </si>
  <si>
    <t>GTM: Deliverable 1 End Date</t>
  </si>
  <si>
    <t>GTM: Deliverable 1 Status</t>
  </si>
  <si>
    <t>GTM: Deliverable 2 Title</t>
  </si>
  <si>
    <t>GTM: Deliverable 2 Owner</t>
  </si>
  <si>
    <t>GTM: Deliverable 2 Start Date</t>
  </si>
  <si>
    <t>GTM: Deliverable 2 End Date</t>
  </si>
  <si>
    <t>GTM: Deliverable 2 Status</t>
  </si>
  <si>
    <t>GTM: Deliverable 3 Title</t>
  </si>
  <si>
    <t>GTM: Deliverable 3 Owner</t>
  </si>
  <si>
    <t>GTM: Deliverable 3 Start Date</t>
  </si>
  <si>
    <t>GTM: Deliverable 3 End Date</t>
  </si>
  <si>
    <t>GTM: Deliverable 3 Status</t>
  </si>
  <si>
    <t>GTM: Deliverable 4 Title</t>
  </si>
  <si>
    <t>GTM: Deliverable 4 Owner</t>
  </si>
  <si>
    <t>GTM: Deliverable 4 Start Date</t>
  </si>
  <si>
    <t>GTM: Deliverable 4 End Date</t>
  </si>
  <si>
    <t>GTM: Deliverable 4 Status</t>
  </si>
  <si>
    <t>GTM: Deliverable 5 Title</t>
  </si>
  <si>
    <t>GTM: Deliverable 5 Owner</t>
  </si>
  <si>
    <t>GTM: Deliverable 5 Start Date</t>
  </si>
  <si>
    <t>GTM: Deliverable 5 End Date</t>
  </si>
  <si>
    <t>GTM: Deliverable 5 Status</t>
  </si>
  <si>
    <t>Capital Planning: End Goal</t>
  </si>
  <si>
    <t>Capital Planning: Support Status</t>
  </si>
  <si>
    <t>Capital Planning : Status</t>
  </si>
  <si>
    <t>Capital Planning: Deliverable 1 Title</t>
  </si>
  <si>
    <t>Capital Planning: Deliverable 1 Owner</t>
  </si>
  <si>
    <t>Capital Planning: Deliverable 1 Start Date</t>
  </si>
  <si>
    <t>Capital Planning: Deliverable 1 End Date</t>
  </si>
  <si>
    <t>Capital Planning: Deliverable 1 Status</t>
  </si>
  <si>
    <t>Capital Planning: Deliverable 2 Title</t>
  </si>
  <si>
    <t>Capital Planning: Deliverable 2 Owner</t>
  </si>
  <si>
    <t>Capital Planning: Deliverable 2 Start Date</t>
  </si>
  <si>
    <t>Capital Planning: Deliverable 2 End Date</t>
  </si>
  <si>
    <t>Capital Planning: Deliverable 2 Status</t>
  </si>
  <si>
    <t>Capital Planning: Deliverable 3 Title</t>
  </si>
  <si>
    <t>Capital Planning: Deliverable 3 Owner</t>
  </si>
  <si>
    <t>Capital Planning: Deliverable 3 Start Date</t>
  </si>
  <si>
    <t>Capital Planning: Deliverable 3 End Date</t>
  </si>
  <si>
    <t>Capital Planning: Deliverable 3 Status</t>
  </si>
  <si>
    <t>Capital Planning: Deliverable 4 Title</t>
  </si>
  <si>
    <t>Capital Planning: Deliverable 4 Owner</t>
  </si>
  <si>
    <t>Capital Planning: Deliverable 4 Start Date</t>
  </si>
  <si>
    <t>Capital Planning: Deliverable 4 End Date</t>
  </si>
  <si>
    <t>Capital Planning: Deliverable 4 Status</t>
  </si>
  <si>
    <t>Capital Planning: Deliverable 5 Title</t>
  </si>
  <si>
    <t>Capital Planning: Deliverable 5 Owner</t>
  </si>
  <si>
    <t>Capital Planning: Deliverable 5 Start Date</t>
  </si>
  <si>
    <t>Capital Planning: Deliverable 5 End Date</t>
  </si>
  <si>
    <t>Capital Planning: Deliverable 5 Status</t>
  </si>
  <si>
    <t>Team: End Goal</t>
  </si>
  <si>
    <t>Team: Support Status</t>
  </si>
  <si>
    <t>Teams: Status</t>
  </si>
  <si>
    <t>Team: Deliverable 1 Title</t>
  </si>
  <si>
    <t>Team: Deliverable 1 Owner</t>
  </si>
  <si>
    <t>Team: Deliverable 1 Start Date</t>
  </si>
  <si>
    <t>Team: Deliverable 1 End Date</t>
  </si>
  <si>
    <t>Team: Deliverable 1 Status</t>
  </si>
  <si>
    <t>Team: Deliverable 2 Title</t>
  </si>
  <si>
    <t>Team: Deliverable 2 Owner</t>
  </si>
  <si>
    <t>Team: Deliverable 2 Start Date</t>
  </si>
  <si>
    <t>Team: Deliverable 2 End Date</t>
  </si>
  <si>
    <t>Team: Deliverable 2 Status</t>
  </si>
  <si>
    <t>Team: Deliverable 3 Title</t>
  </si>
  <si>
    <t>Team: Deliverable 3 Owner</t>
  </si>
  <si>
    <t>Team: Deliverable 3 Start Date</t>
  </si>
  <si>
    <t>Team: Deliverable 3 End Date</t>
  </si>
  <si>
    <t>Team: Deliverable 3 Status</t>
  </si>
  <si>
    <t>Team: Deliverable 4 Title</t>
  </si>
  <si>
    <t>Team: Deliverable 4 Owner</t>
  </si>
  <si>
    <t>Team: Deliverable 4 Start Date</t>
  </si>
  <si>
    <t>Team: Deliverable 4 End Date</t>
  </si>
  <si>
    <t>Team: Deliverable 4 Status</t>
  </si>
  <si>
    <t>Team: Deliverable 5 Title</t>
  </si>
  <si>
    <t>Team: Deliverable 5 Owner</t>
  </si>
  <si>
    <t>Team: Deliverable 5 Start Date</t>
  </si>
  <si>
    <t>Team: Deliverable 5 End Date</t>
  </si>
  <si>
    <t>Team: Deliverable 5 Status</t>
  </si>
  <si>
    <t>Supply Chain: End Goal</t>
  </si>
  <si>
    <t>Supply Chain: Support Status</t>
  </si>
  <si>
    <t>Supply Chain: Status</t>
  </si>
  <si>
    <t>Supply Chain: Deliverable 1 Title</t>
  </si>
  <si>
    <t>Supply Chain: Deliverable 1 Owner</t>
  </si>
  <si>
    <t>Supply Chain: Deliverable 1 Start Date</t>
  </si>
  <si>
    <t>Supply Chain: Deliverable 1 End Date</t>
  </si>
  <si>
    <t>Supply Chain: Deliverable 1 Status</t>
  </si>
  <si>
    <t>Supply Chain: Deliverable 2 Title</t>
  </si>
  <si>
    <t>Supply Chain: Deliverable 2 Owner</t>
  </si>
  <si>
    <t>Supply Chain: Deliverable 2 Start Date</t>
  </si>
  <si>
    <t>Supply Chain: Deliverable 2 End Date</t>
  </si>
  <si>
    <t>Supply Chain: Deliverable 2 Status</t>
  </si>
  <si>
    <t>Supply Chain: Deliverable 3 Title</t>
  </si>
  <si>
    <t>Supply Chain: Deliverable 3 Owner</t>
  </si>
  <si>
    <t>Supply Chain: Deliverable 3 Start Date</t>
  </si>
  <si>
    <t>Supply Chain: Deliverable 3 End Date</t>
  </si>
  <si>
    <t>Supply Chain: Deliverable 3 Status</t>
  </si>
  <si>
    <t>Supply Chain: Deliverable 4 Title</t>
  </si>
  <si>
    <t>Supply Chain: Deliverable 4 Owner</t>
  </si>
  <si>
    <t>Supply Chain: Deliverable 4 Start Date</t>
  </si>
  <si>
    <t>Supply Chain: Deliverable 4 End Date</t>
  </si>
  <si>
    <t>Supply Chain: Deliverable 4 Status</t>
  </si>
  <si>
    <t>Supply Chain: Deliverable 5 Title</t>
  </si>
  <si>
    <t>Supply Chain: Deliverable 5 Owner</t>
  </si>
  <si>
    <t>Supply Chain: Deliverable 5 Start Date</t>
  </si>
  <si>
    <t>Supply Chain: Deliverable 5 End Date</t>
  </si>
  <si>
    <t>Supply Chain: Deliverable 5 Status</t>
  </si>
  <si>
    <t>Operations: End Goal</t>
  </si>
  <si>
    <t>Operations: Support Status</t>
  </si>
  <si>
    <t>Operations:Status</t>
  </si>
  <si>
    <t>Operations: Deliverable 1 Title</t>
  </si>
  <si>
    <t>Operations: Deliverable 1 Owner</t>
  </si>
  <si>
    <t>Operations: Deliverable 1 Start Date</t>
  </si>
  <si>
    <t>Operations: Deliverable 1 End Date</t>
  </si>
  <si>
    <t>Operations: Deliverable 1 Status</t>
  </si>
  <si>
    <t>Operations: Deliverable 2 Title</t>
  </si>
  <si>
    <t>Operations: Deliverable 2 Owner</t>
  </si>
  <si>
    <t>Operations: Deliverable 2 Start Date</t>
  </si>
  <si>
    <t>Operations: Deliverable 2 End Date</t>
  </si>
  <si>
    <t>Operations: Deliverable 2 Status</t>
  </si>
  <si>
    <t>Operations: Deliverable 3 Title</t>
  </si>
  <si>
    <t>Operations: Deliverable 3 Owner</t>
  </si>
  <si>
    <t>Operations: Deliverable 3 Start Date</t>
  </si>
  <si>
    <t>Operations: Deliverable 3 End Date</t>
  </si>
  <si>
    <t>Operations: Deliverable 3 Status</t>
  </si>
  <si>
    <t>Operations: Deliverable 4 Title</t>
  </si>
  <si>
    <t>Operations: Deliverable 4 Owner</t>
  </si>
  <si>
    <t>Operations: Deliverable 4 Start Date</t>
  </si>
  <si>
    <t>Operations: Deliverable 4 End Date</t>
  </si>
  <si>
    <t>Operations: Deliverable 4 Status</t>
  </si>
  <si>
    <t>Operations: Deliverable 5 Title</t>
  </si>
  <si>
    <t>Operations: Deliverable 5 Owner</t>
  </si>
  <si>
    <t>Operations: Deliverable 5 Start Date</t>
  </si>
  <si>
    <t>Operations: Deliverable 5 Status</t>
  </si>
  <si>
    <t>Checklist1</t>
  </si>
  <si>
    <t>Checklist2</t>
  </si>
  <si>
    <t>Notes</t>
  </si>
  <si>
    <t>Siddhi Group (SMB)</t>
  </si>
  <si>
    <t>Strategy Garage(Sekhar VP)</t>
  </si>
  <si>
    <t>Green (On Track)</t>
  </si>
  <si>
    <t>Achieve full commercial rollout and sustained volume for the prioritized product lines.</t>
  </si>
  <si>
    <t>Do Not Need Help</t>
  </si>
  <si>
    <t>Amber</t>
  </si>
  <si>
    <t>Product Rationalization</t>
  </si>
  <si>
    <t>Work In Progress</t>
  </si>
  <si>
    <t>Commercialization Fast-Track</t>
  </si>
  <si>
    <t>2026-05-16</t>
  </si>
  <si>
    <t>Automotive Pilot Execution</t>
  </si>
  <si>
    <t>Nadcap Gap Analysis</t>
  </si>
  <si>
    <t>Baseline ISO/AS9100D Maint.</t>
  </si>
  <si>
    <t>Scale exports to 50–80 countries; establish a sales subsidiary in key markets (e.g., Dubai/Singapore).</t>
  </si>
  <si>
    <t>Need Deep Support</t>
  </si>
  <si>
    <t>Export Network Restructuring</t>
  </si>
  <si>
    <t>Digital Global Platform</t>
  </si>
  <si>
    <t>Export Compliance Desk</t>
  </si>
  <si>
    <t>Subsidiary Blueprinting</t>
  </si>
  <si>
    <t>Legacy Export Relationships</t>
  </si>
  <si>
    <t>Formulate fundraising strategy &amp; secure working capital.</t>
  </si>
  <si>
    <t>SME IPO Readiness Audit</t>
  </si>
  <si>
    <t>Working Capital Unlocking</t>
  </si>
  <si>
    <t>Growth Capex Strategy</t>
  </si>
  <si>
    <t>SKU Margin Analytics</t>
  </si>
  <si>
    <t>Routine Accounting Ops</t>
  </si>
  <si>
    <t>Hire professional second-line leadership team.</t>
  </si>
  <si>
    <t>Second-Line Leadership Hiring</t>
  </si>
  <si>
    <t>Succession Transition Plan</t>
  </si>
  <si>
    <t>Middle-Management Upskilling</t>
  </si>
  <si>
    <t>Sprint-Based Appraisals</t>
  </si>
  <si>
    <t>Routine Payroll &amp; Compliances</t>
  </si>
  <si>
    <t>Secure long-term raw material hedging contracts.</t>
  </si>
  <si>
    <t>Need Some Guidance</t>
  </si>
  <si>
    <t>Strategic Aluminium Hedging</t>
  </si>
  <si>
    <t xml:space="preserve"> Vendor-Managed Inventory</t>
  </si>
  <si>
    <t>QA Automation</t>
  </si>
  <si>
    <t>Supplier Consolidation</t>
  </si>
  <si>
    <t>Outsourced Process Mgmt.</t>
  </si>
  <si>
    <t>Implement robust project management &amp; digital systems.</t>
  </si>
  <si>
    <t>PMO Setup</t>
  </si>
  <si>
    <t>Enterprise ERP Integration</t>
  </si>
  <si>
    <t>Core Process Automation</t>
  </si>
  <si>
    <t>Industry 0 IoT Pilot</t>
  </si>
  <si>
    <t>Facility Space Optimization</t>
  </si>
  <si>
    <t>Faber Infinite (Aakash)</t>
  </si>
  <si>
    <t>Successfully commercialize a diverse portfolio of high-value point-of-care and sophisticated diagnostics, reducing reliance on commodity rapid tests.</t>
  </si>
  <si>
    <t>High-Margin Pivot</t>
  </si>
  <si>
    <t>OTC / Lifestyle Testing</t>
  </si>
  <si>
    <t>2026-05-17</t>
  </si>
  <si>
    <t>Tech Partner Acquisition</t>
  </si>
  <si>
    <t>OEM Capacity Selling</t>
  </si>
  <si>
    <t>Portfolio Audit</t>
  </si>
  <si>
    <t>Expand the export baseline significantly beyond its current 20% share, making international markets the primary engine driving the ₹100 Cr revenue target.</t>
  </si>
  <si>
    <t>Market Prioritization</t>
  </si>
  <si>
    <t>Embassy Outreach</t>
  </si>
  <si>
    <t>Export Team Structuring</t>
  </si>
  <si>
    <t>Cross-Border Payments</t>
  </si>
  <si>
    <t>Expo &amp; Trade Strategy</t>
  </si>
  <si>
    <t>Secure stable, positive cash flows, maintain strict budget controls, and achieve ~30% EBITDA margins while smoothly funding the 3x revenue leap.</t>
  </si>
  <si>
    <t>Sales Budget Controls</t>
  </si>
  <si>
    <t>Cash Flow Stabilization</t>
  </si>
  <si>
    <t>Unit Economics Audit</t>
  </si>
  <si>
    <t>Capital Infusion Readiness</t>
  </si>
  <si>
    <t>Financial Dashboards</t>
  </si>
  <si>
    <t>Build a vibrant, technically proficient, and KPI-driven organization, integrating ~150 new hires to sustain aggressive growth.</t>
  </si>
  <si>
    <t>Sales Force Expansion</t>
  </si>
  <si>
    <t>Performance Management</t>
  </si>
  <si>
    <t>Legacy Change Management</t>
  </si>
  <si>
    <t>Middle-Management Build</t>
  </si>
  <si>
    <t>Technical Upskilling</t>
  </si>
  <si>
    <t>Establish a highly structured, deep-penetration distribution network catering seamlessly to India's Tier 2/3 markets and streamlined export channels.</t>
  </si>
  <si>
    <t>National Distributor Setup</t>
  </si>
  <si>
    <t>Tier 2/3 Penetration</t>
  </si>
  <si>
    <t>Export Logistics Route</t>
  </si>
  <si>
    <t>Inventory Alignment</t>
  </si>
  <si>
    <t>E-commerce Distribution</t>
  </si>
  <si>
    <t>Achieve full digital transformation of the shop floor and scale available production capacity from 50% to near 100% efficiently.</t>
  </si>
  <si>
    <t>Shop-Floor Digitalization</t>
  </si>
  <si>
    <t>Capacity Utilization</t>
  </si>
  <si>
    <t>Lean Manufacturing</t>
  </si>
  <si>
    <t>Quality Standard Audit</t>
  </si>
  <si>
    <t>Factory-in-Factory</t>
  </si>
  <si>
    <t>Fintelligence(Sanjay VP)</t>
  </si>
  <si>
    <t>Develop high-margin precision components; build proprietary branded products and IPs.</t>
  </si>
  <si>
    <t>Aerospace &amp; Medical R&amp;D</t>
  </si>
  <si>
    <t>Proprietary IP Development</t>
  </si>
  <si>
    <t>2026-05-18</t>
  </si>
  <si>
    <t>Existing Casting/Forging Optimization</t>
  </si>
  <si>
    <t xml:space="preserve"> R&amp;D and Engineering Services</t>
  </si>
  <si>
    <t xml:space="preserve"> Aftermarket Service Products</t>
  </si>
  <si>
    <t>Penetrate aerospace, defense, and medical sectors; increase export revenue by 30%; acquire 1-2 new global OEM accounts.</t>
  </si>
  <si>
    <t xml:space="preserve"> Export Certifications (EN1090, Medical, Aerospace)</t>
  </si>
  <si>
    <t xml:space="preserve"> Direct Global OEM Outreach</t>
  </si>
  <si>
    <t xml:space="preserve"> International Distributor Network</t>
  </si>
  <si>
    <t xml:space="preserve"> International Trade Shows</t>
  </si>
  <si>
    <t xml:space="preserve"> Export Marketing &amp; Branding</t>
  </si>
  <si>
    <t>Establish strong financial discipline/metrics; manage 120-day cash cycles efficiently; secure expansion funding.</t>
  </si>
  <si>
    <t xml:space="preserve"> Formal Business Plan Formulation</t>
  </si>
  <si>
    <t xml:space="preserve"> CapEx Budgeting &amp; ROI Modeling</t>
  </si>
  <si>
    <t xml:space="preserve"> Working Capital &amp; Cash Flow</t>
  </si>
  <si>
    <t xml:space="preserve"> Debt/Equity Funding Readiness</t>
  </si>
  <si>
    <t xml:space="preserve"> Export Duty Drawbacks &amp; Currency</t>
  </si>
  <si>
    <t>Transition from founder-dependent operations to a fully structured, professional management team.</t>
  </si>
  <si>
    <t xml:space="preserve"> Second-Line Leadership Structuring</t>
  </si>
  <si>
    <t xml:space="preserve"> Hire Senior Technical/Product Lead</t>
  </si>
  <si>
    <t xml:space="preserve"> Hire Export Sales Head</t>
  </si>
  <si>
    <t xml:space="preserve"> Quality Control (QC) Team Expansion</t>
  </si>
  <si>
    <t xml:space="preserve"> Performance Management &amp; Training</t>
  </si>
  <si>
    <t>Build an integrated supply ecosystem (Zetwerk model); maintain 99% on-time delivery despite scaling.</t>
  </si>
  <si>
    <t xml:space="preserve"> Outsourcing Transition Management</t>
  </si>
  <si>
    <t xml:space="preserve"> Ecosystem Vendor Onboarding</t>
  </si>
  <si>
    <t xml:space="preserve"> Vendor Payment &amp; Dependability</t>
  </si>
  <si>
    <t xml:space="preserve"> Raw Material Sourcing Strategy</t>
  </si>
  <si>
    <t xml:space="preserve"> Export Logistics &amp; Documentation</t>
  </si>
  <si>
    <t>Establish in-house machining/casting; reduce outsourcing from 90% to 50-60%; fully integrate ERP.</t>
  </si>
  <si>
    <t xml:space="preserve"> Backward Integration &amp; Layout</t>
  </si>
  <si>
    <t xml:space="preserve"> Comprehensive ERP Implementation</t>
  </si>
  <si>
    <t xml:space="preserve"> Quality Management System (QMS)</t>
  </si>
  <si>
    <t xml:space="preserve"> Yield &amp; Scrap Reduction Metrics</t>
  </si>
  <si>
    <t xml:space="preserve"> Machine &amp; Shift Utilization</t>
  </si>
  <si>
    <t>Kadillac Chemicals</t>
  </si>
  <si>
    <t>Aspiro Consulting (Sunil VP)</t>
  </si>
  <si>
    <t>Phase out existing commodity manufacturing entirely and utilize 100% of plant capacity for producing high-margin specialty chemicals.</t>
  </si>
  <si>
    <t>Commercial Scale-Up</t>
  </si>
  <si>
    <t>Commodity Wind-Down</t>
  </si>
  <si>
    <t>2026-05-19</t>
  </si>
  <si>
    <t>Competitor Sourcing</t>
  </si>
  <si>
    <t>Export Specification Alignment</t>
  </si>
  <si>
    <t>Quality Testing Upgrades</t>
  </si>
  <si>
    <t>Establish a direct, fully operational export pipeline to the USA and Europe (contributing to the ~₹105+ Cr export/trading target) as a single-source supplier with a REACH-registered partner.</t>
  </si>
  <si>
    <t>Deep Export Market Data</t>
  </si>
  <si>
    <t>REACH Partner Identification</t>
  </si>
  <si>
    <t>Simplified Export CRM</t>
  </si>
  <si>
    <t>Direct Client Pitching</t>
  </si>
  <si>
    <t>Global Pricing Contracts</t>
  </si>
  <si>
    <t>Sustain smooth, optimized cash flows and self-sustaining working capital cycles to support the targeted ₹180 Crores top-line revenue.</t>
  </si>
  <si>
    <t>Debt vs. Equity Evaluation</t>
  </si>
  <si>
    <t>Trading Working Capital</t>
  </si>
  <si>
    <t>Multi-Currency Hedging</t>
  </si>
  <si>
    <t>Export Margin Modeling</t>
  </si>
  <si>
    <t>IT Investment Budgeting</t>
  </si>
  <si>
    <t>Stabilize a highly trained workforce of ~100-105 employees with minimal turnover, led by an independent middle-management team that frees the founder from daily plant operations.</t>
  </si>
  <si>
    <t>KPI/KRA Structuring</t>
  </si>
  <si>
    <t>Middle-Management Recruitment</t>
  </si>
  <si>
    <t>Attrition Root Cause Fixes</t>
  </si>
  <si>
    <t>Long-Term Retention Policy</t>
  </si>
  <si>
    <t>Blue-Collar Workforce Upskilling</t>
  </si>
  <si>
    <t>Successfully operate the European "manufacturing + trading" aggregator model, seamlessly shipping custom-consolidated chemical bundles in full container loads.</t>
  </si>
  <si>
    <t>Aggregator Logistics Planning</t>
  </si>
  <si>
    <t>Domestic Vendor Vetting</t>
  </si>
  <si>
    <t>Bundled Quality Assurance</t>
  </si>
  <si>
    <t>Customs &amp; Freight Streamlining</t>
  </si>
  <si>
    <t>Dynamic Inventory Hedging</t>
  </si>
  <si>
    <t>Run a fully digitized, continuous-process manufacturing plant with the new ₹50 Lakh reactor equipment installed and fully operational.</t>
  </si>
  <si>
    <t>SPCB Clearance Expediting</t>
  </si>
  <si>
    <t>Legacy Data Digitization</t>
  </si>
  <si>
    <t>ERP Implementation</t>
  </si>
  <si>
    <t>CapEx Reactor Installation</t>
  </si>
  <si>
    <t>Bottleneck Mitigation</t>
  </si>
  <si>
    <t>Ramprasad Tubes</t>
  </si>
  <si>
    <t>Launch and scale precision-engineered, fully machined value-added components as a major product line.</t>
  </si>
  <si>
    <t>Precision Tolerance R&amp;D</t>
  </si>
  <si>
    <t>Prototype Testing &amp; Validation</t>
  </si>
  <si>
    <t>2026-05-20</t>
  </si>
  <si>
    <t>Machining Capability Expansion</t>
  </si>
  <si>
    <t xml:space="preserve"> Special Profile Development</t>
  </si>
  <si>
    <t xml:space="preserve"> Quality Assurance Modernization</t>
  </si>
  <si>
    <t>Establish a robust, direct export revenue stream and finalize a technology-sharing foreign JV.</t>
  </si>
  <si>
    <t xml:space="preserve"> Target Market Profiling</t>
  </si>
  <si>
    <t xml:space="preserve"> Strategic JV Outreach</t>
  </si>
  <si>
    <t xml:space="preserve"> Export Logistics Framework</t>
  </si>
  <si>
    <t xml:space="preserve"> International Quality Certification</t>
  </si>
  <si>
    <t xml:space="preserve"> Pilot Order Execution</t>
  </si>
  <si>
    <t>Fund the entire ₹5-6 Crore expansion for the new precision tube facility entirely through optimized internal cash flows.</t>
  </si>
  <si>
    <t xml:space="preserve"> Receivables Cycle Reduction</t>
  </si>
  <si>
    <t xml:space="preserve"> Gross Margin Rationalization</t>
  </si>
  <si>
    <t xml:space="preserve"> CapEx Allocation Strategy</t>
  </si>
  <si>
    <t xml:space="preserve"> Working Capital Alignment</t>
  </si>
  <si>
    <t xml:space="preserve"> Cost-Reduction Tracking</t>
  </si>
  <si>
    <t>Institutionalize a KPI-driven organizational structure and fully replace aging, legacy management with a tech-savvy leadership team.</t>
  </si>
  <si>
    <t xml:space="preserve"> Sales &amp; Market Research Hiring</t>
  </si>
  <si>
    <t xml:space="preserve"> Founders' Time Allocation</t>
  </si>
  <si>
    <t xml:space="preserve"> Middle-Management Succession</t>
  </si>
  <si>
    <t xml:space="preserve"> Performance Metrics &amp; KPIs</t>
  </si>
  <si>
    <t xml:space="preserve"> Migrant Labor Stabilization</t>
  </si>
  <si>
    <t>Control the raw material supply chain by producing base tubes in-house to guarantee quality for high-end precision orders.</t>
  </si>
  <si>
    <t xml:space="preserve"> Backward Integration Feasibility</t>
  </si>
  <si>
    <t xml:space="preserve"> Inventory Cycle Optimization</t>
  </si>
  <si>
    <t xml:space="preserve"> Sub-contractor Management</t>
  </si>
  <si>
    <t xml:space="preserve"> Strategic Capacity Allocation</t>
  </si>
  <si>
    <t>Triple output while completely migrating to highly automated lines with minimal reliance on manual, migrant labor.</t>
  </si>
  <si>
    <t xml:space="preserve"> Automated Equipment Commissioning</t>
  </si>
  <si>
    <t xml:space="preserve"> Labor Dependency Reduction</t>
  </si>
  <si>
    <t xml:space="preserve"> Shop-Floor 5S Implementation</t>
  </si>
  <si>
    <t xml:space="preserve"> Production Workflow Alignment</t>
  </si>
  <si>
    <t xml:space="preserve"> Scrap &amp; Defect Minimization</t>
  </si>
  <si>
    <t>The Catalyst (Pradeep Ghare VP)</t>
  </si>
  <si>
    <t>Successfully shift product mix, reducing dependency on Geomembrane (from 75% to 30%) in favor of high-margin mix.</t>
  </si>
  <si>
    <t>High-Margin Pivot Plan</t>
  </si>
  <si>
    <t>UV &amp; Tech Upgrade</t>
  </si>
  <si>
    <t>2026-05-21</t>
  </si>
  <si>
    <t>Aquaculture Positioning</t>
  </si>
  <si>
    <t xml:space="preserve"> Vertical Integration (HDPE)</t>
  </si>
  <si>
    <t xml:space="preserve"> Tech-Textile Exploration</t>
  </si>
  <si>
    <t>Scale exports to contribute a significant ratio of the ₹300 Cr revenue (e.g., 10%+ from pipe exports alone).</t>
  </si>
  <si>
    <t xml:space="preserve"> Export Market Mapping</t>
  </si>
  <si>
    <t xml:space="preserve"> Compliance &amp; Certification</t>
  </si>
  <si>
    <t xml:space="preserve"> Distributor Identification</t>
  </si>
  <si>
    <t xml:space="preserve"> Export-Grade Collateral</t>
  </si>
  <si>
    <t xml:space="preserve"> FOB/CIF Pricing Strategy</t>
  </si>
  <si>
    <t>Maintain a robust financial runway and working capital cycle to securely support a ₹300 Cr operation.</t>
  </si>
  <si>
    <t xml:space="preserve"> CFO Recruitment</t>
  </si>
  <si>
    <t xml:space="preserve"> Master Business Plan</t>
  </si>
  <si>
    <t xml:space="preserve"> CAPEX Financing Lock-in</t>
  </si>
  <si>
    <t xml:space="preserve"> Product-Wise P&amp;L Tracking</t>
  </si>
  <si>
    <t xml:space="preserve"> Working Capital Optimization</t>
  </si>
  <si>
    <t>Sustainably manage a scaled workforce of 250-300 employees, utilizing automation to reduce brute-force hiring.</t>
  </si>
  <si>
    <t xml:space="preserve"> Head of HR Recruitment</t>
  </si>
  <si>
    <t xml:space="preserve"> C-Suite &amp; PMO Search</t>
  </si>
  <si>
    <t xml:space="preserve"> Org-Chart Formalization</t>
  </si>
  <si>
    <t xml:space="preserve"> Performance Management</t>
  </si>
  <si>
    <t xml:space="preserve"> Automation Upskilling</t>
  </si>
  <si>
    <t>Operate a highly efficient, automated supply chain and fulfillment engine that defends product margins.</t>
  </si>
  <si>
    <t xml:space="preserve"> E-com Packaging Automation</t>
  </si>
  <si>
    <t xml:space="preserve"> Agent Disintermediation</t>
  </si>
  <si>
    <t xml:space="preserve"> Export Packhouse Setup</t>
  </si>
  <si>
    <t xml:space="preserve"> Seasonal Inventory Control</t>
  </si>
  <si>
    <t xml:space="preserve"> 3PL vs. In-house Fleet</t>
  </si>
  <si>
    <t>Achieve a highly automated, scalable manufacturing ecosystem capable of sustaining ₹300 Cr output.</t>
  </si>
  <si>
    <t xml:space="preserve"> ERP Implementation</t>
  </si>
  <si>
    <t xml:space="preserve"> MIDC CAPEX Execution</t>
  </si>
  <si>
    <t xml:space="preserve"> Production Scheduling</t>
  </si>
  <si>
    <t xml:space="preserve"> Floor-Level SOPs</t>
  </si>
  <si>
    <t xml:space="preserve"> Capacity Optimization</t>
  </si>
  <si>
    <t>GoWelMart</t>
  </si>
  <si>
    <t>Backward integrate into localized manufacturing or higher-volume direct Chinese sourcing.</t>
  </si>
  <si>
    <t>North Indian OEM Sourcing</t>
  </si>
  <si>
    <t>SKU Expansion Validation</t>
  </si>
  <si>
    <t>2026-05-22</t>
  </si>
  <si>
    <t>OEM QC Checklists</t>
  </si>
  <si>
    <t xml:space="preserve"> E-commerce Onboarding</t>
  </si>
  <si>
    <t xml:space="preserve"> Core Handset Procurement</t>
  </si>
  <si>
    <t>Set up GoWelMart's direct entity/hub in Dubai DAFZA to serve EMEA.</t>
  </si>
  <si>
    <t xml:space="preserve"> Aggregator Identification</t>
  </si>
  <si>
    <t xml:space="preserve"> GST Frictions Mitigation</t>
  </si>
  <si>
    <t xml:space="preserve"> Export Compliance Audit</t>
  </si>
  <si>
    <t xml:space="preserve"> DAFZA Entity Roadmap</t>
  </si>
  <si>
    <t xml:space="preserve"> B2B Market Mapping</t>
  </si>
  <si>
    <t>Achieve INR 500 Cr revenue with public-market compliance standards for IPO.</t>
  </si>
  <si>
    <t xml:space="preserve"> Working Capital Infusion</t>
  </si>
  <si>
    <t xml:space="preserve"> Fintech/TReDS Integration</t>
  </si>
  <si>
    <t xml:space="preserve"> IPO Audit Preparation</t>
  </si>
  <si>
    <t xml:space="preserve"> Cash Flow Forecasting</t>
  </si>
  <si>
    <t xml:space="preserve"> Unit Economics Tracking</t>
  </si>
  <si>
    <t>Scale organically to a highly efficient ~70-person corporate team capable of managing 500 Cr.</t>
  </si>
  <si>
    <t xml:space="preserve"> Field Intelligence Hiring</t>
  </si>
  <si>
    <t xml:space="preserve"> HOD Professionalization</t>
  </si>
  <si>
    <t xml:space="preserve"> Retailer Co-Branding</t>
  </si>
  <si>
    <t xml:space="preserve"> Corporate Capacity Planning</t>
  </si>
  <si>
    <t xml:space="preserve"> Current Team Output</t>
  </si>
  <si>
    <t>Fully automated, predictive supply chain network minimizing transportation and storage costs.</t>
  </si>
  <si>
    <t xml:space="preserve"> Multi-State Routing Tech</t>
  </si>
  <si>
    <t xml:space="preserve"> Accessory Handling Workflows</t>
  </si>
  <si>
    <t xml:space="preserve"> Network Tier Modeling</t>
  </si>
  <si>
    <t xml:space="preserve"> 30-Day Inventory Aging</t>
  </si>
  <si>
    <t xml:space="preserve"> Current Hub Logistics</t>
  </si>
  <si>
    <t>Establish a Pan-India operational footprint covering Tier-1 distributors across 20 states.</t>
  </si>
  <si>
    <t xml:space="preserve"> Partner Vetting Framework</t>
  </si>
  <si>
    <t xml:space="preserve"> Retailer CRM Deployment</t>
  </si>
  <si>
    <t xml:space="preserve"> Channel Partner KPIs</t>
  </si>
  <si>
    <t xml:space="preserve"> Process Documentation</t>
  </si>
  <si>
    <t xml:space="preserve"> Tamil Nadu SLA Adherence</t>
  </si>
  <si>
    <t>Unicon Group of Companies</t>
  </si>
  <si>
    <t>Thinking Spree (Jyoti)</t>
  </si>
  <si>
    <t>Significantly diversify revenue so high-growth WtE products drive ~21% of total revenue.</t>
  </si>
  <si>
    <t>European Tech Tie-Ups</t>
  </si>
  <si>
    <t>WtE Pilot Execution</t>
  </si>
  <si>
    <t>2026-05-23</t>
  </si>
  <si>
    <t>IoT/AI Commercialization</t>
  </si>
  <si>
    <t xml:space="preserve"> IP &amp; Patent Strategy</t>
  </si>
  <si>
    <t xml:space="preserve"> Cross-Product Bundling</t>
  </si>
  <si>
    <t>Achieve the target of exports contributing 30% (approx. ₹84+ Cr) of total revenue.</t>
  </si>
  <si>
    <t xml:space="preserve"> Market Mapping</t>
  </si>
  <si>
    <t xml:space="preserve"> Channel Partner Onboarding</t>
  </si>
  <si>
    <t xml:space="preserve"> International EPC Connects</t>
  </si>
  <si>
    <t xml:space="preserve"> Global Digital Branding</t>
  </si>
  <si>
    <t xml:space="preserve"> Export Certifications</t>
  </si>
  <si>
    <t>Achieve full financial structuring, compliance, and readiness for a targeted MSME IPO.</t>
  </si>
  <si>
    <t xml:space="preserve"> Cash-Flow Digitization</t>
  </si>
  <si>
    <t xml:space="preserve"> MSME IPO Roadmap</t>
  </si>
  <si>
    <t xml:space="preserve"> Working Capital Easing</t>
  </si>
  <si>
    <t xml:space="preserve"> Debt Sourcing &amp; Structure</t>
  </si>
  <si>
    <t xml:space="preserve"> Margin Preservation</t>
  </si>
  <si>
    <t>Successfully scale headcount from 150 to ~350, empowered by a strong second-tier leadership team.</t>
  </si>
  <si>
    <t xml:space="preserve"> Leadership Pipeline</t>
  </si>
  <si>
    <t xml:space="preserve"> Specialized Talent Hiring</t>
  </si>
  <si>
    <t xml:space="preserve"> PM Team Upskilling</t>
  </si>
  <si>
    <t xml:space="preserve"> KRA/KPI Structuring</t>
  </si>
  <si>
    <t xml:space="preserve"> Organizational Redesign</t>
  </si>
  <si>
    <t>Build a resilient supply network capable of seamlessly fulfilling 3X global and domestic capacity.</t>
  </si>
  <si>
    <t xml:space="preserve"> Tier-1 Vendor Approvals</t>
  </si>
  <si>
    <t xml:space="preserve"> Localized MP Supply Base</t>
  </si>
  <si>
    <t xml:space="preserve"> Contract Manufacturing</t>
  </si>
  <si>
    <t xml:space="preserve"> Commodity Hedging</t>
  </si>
  <si>
    <t xml:space="preserve"> ERP Inventory Integration</t>
  </si>
  <si>
    <t>Unit 2 fully operational (10,000 tons/yr capacity) with decentralized, system-driven project execution.</t>
  </si>
  <si>
    <t xml:space="preserve"> PM Tool Automation</t>
  </si>
  <si>
    <t xml:space="preserve"> Resource &amp; Cost Mapping</t>
  </si>
  <si>
    <t xml:space="preserve"> SOP Standardization</t>
  </si>
  <si>
    <t xml:space="preserve"> Unit 2 CapEx Execution</t>
  </si>
  <si>
    <t xml:space="preserve"> IMS Certification</t>
  </si>
  <si>
    <t>Suman Exports</t>
  </si>
  <si>
    <t>Venkat PS (VP)</t>
  </si>
  <si>
    <t>Successfully launch value-added blends; secure private label contracts under EU/USFDA standards.</t>
  </si>
  <si>
    <t>Value-Added Blend Development</t>
  </si>
  <si>
    <t>Global Compliance &amp; Certs</t>
  </si>
  <si>
    <t>2026-05-24</t>
  </si>
  <si>
    <t>Value Proposition Pivot</t>
  </si>
  <si>
    <t>In-House Quality Lab Ops</t>
  </si>
  <si>
    <t>Private Label Packaging</t>
  </si>
  <si>
    <t>Penetrate US/EU markets; build a self-sustaining international sales team; achieve ₹135+ Cr revenue.</t>
  </si>
  <si>
    <t>Export Market Prioritization</t>
  </si>
  <si>
    <t>Broker Network Expansion</t>
  </si>
  <si>
    <t>Dedicated Export BD Team</t>
  </si>
  <si>
    <t xml:space="preserve"> Digital Demand Generation</t>
  </si>
  <si>
    <t>Global Trade Fair Strategy</t>
  </si>
  <si>
    <t>Double EBITDA margins; effectively deploy existing capital for high-yield export expansion.</t>
  </si>
  <si>
    <t>Strategic Capital Allocation</t>
  </si>
  <si>
    <t>Premium Pricing Models</t>
  </si>
  <si>
    <t>Forex Volatility Hedging</t>
  </si>
  <si>
    <t>Cash Flow Sustenance</t>
  </si>
  <si>
    <t>Establish an HR function; build a capable 2nd-line leadership team; implement strict performance metrics.</t>
  </si>
  <si>
    <t>Organogram Restructuring</t>
  </si>
  <si>
    <t>2nd-Line Leadership Hiring</t>
  </si>
  <si>
    <t>KPI &amp; KRA Framework</t>
  </si>
  <si>
    <t>Performance-Linked Pay</t>
  </si>
  <si>
    <t>HR Department Setup</t>
  </si>
  <si>
    <t>Consolidate warehousing; build a resilient, tech-enabled supply chain resistant to seasonal price shocks.</t>
  </si>
  <si>
    <t>Warehouse Consolidation</t>
  </si>
  <si>
    <t>Seasonal Demand Forecasting</t>
  </si>
  <si>
    <t>Supplier Network Formalization</t>
  </si>
  <si>
    <t>Port &amp; C&amp;F Optimization</t>
  </si>
  <si>
    <t>Inventory Shock Hedging</t>
  </si>
  <si>
    <t>Fully operationalize the new facility; achieve 100% digital traceability and optimized capacity utilization.</t>
  </si>
  <si>
    <t>New Facility Commissioning</t>
  </si>
  <si>
    <t>Digital Inventory Systems</t>
  </si>
  <si>
    <t>Digital Traceability Engine</t>
  </si>
  <si>
    <t>Standard Operating Procedures</t>
  </si>
  <si>
    <t>5 Capacity Utilization Plan</t>
  </si>
  <si>
    <t>Shree Multi Sticks &amp; labels</t>
  </si>
  <si>
    <t>D&amp;V Consulting (Kunal)</t>
  </si>
  <si>
    <t>Fully integrate smart labels (RFID/QR) and high-spec "extreme environment" adhesives into the portfolio.</t>
  </si>
  <si>
    <t>Digital Printing Integration</t>
  </si>
  <si>
    <t>Smart-Label (RFID/QR) R&amp;D</t>
  </si>
  <si>
    <t>2026-05-26</t>
  </si>
  <si>
    <t>Corrugation Plant Launch</t>
  </si>
  <si>
    <t xml:space="preserve"> Tape Line Commercialization</t>
  </si>
  <si>
    <t xml:space="preserve"> Integrated Hardware Synergy</t>
  </si>
  <si>
    <t>Establish a dominant direct export footprint leveraging India's Free Trade Agreements (FTAs).</t>
  </si>
  <si>
    <t xml:space="preserve"> Direct Buyer Identification</t>
  </si>
  <si>
    <t xml:space="preserve"> International Exhibition Outreach</t>
  </si>
  <si>
    <t xml:space="preserve"> Digital Export Lead Generation</t>
  </si>
  <si>
    <t xml:space="preserve"> Indirect Agent Phase-Out</t>
  </si>
  <si>
    <t xml:space="preserve"> Localized Distribution Partnerships</t>
  </si>
  <si>
    <t>Achieve top-tier industry financial benchmarks (14-16% EBITDA, &gt;0 Current Ratio).</t>
  </si>
  <si>
    <t xml:space="preserve"> Margin Level Tracking</t>
  </si>
  <si>
    <t xml:space="preserve"> Capex Funding Procurement</t>
  </si>
  <si>
    <t xml:space="preserve"> Working Capital Management</t>
  </si>
  <si>
    <t xml:space="preserve"> Rolling Cash-Flow Forecasts</t>
  </si>
  <si>
    <t xml:space="preserve"> EBITDA Benchmarking</t>
  </si>
  <si>
    <t>Sustain a structured matrix organization managing 75+ new direct employees.</t>
  </si>
  <si>
    <t xml:space="preserve"> Second-Line Leadership Hiring</t>
  </si>
  <si>
    <t xml:space="preserve"> Performance Management System</t>
  </si>
  <si>
    <t xml:space="preserve"> Matrix Organization Design</t>
  </si>
  <si>
    <t xml:space="preserve"> Employee Training &amp; Upskilling</t>
  </si>
  <si>
    <t xml:space="preserve"> Workforce Scaling</t>
  </si>
  <si>
    <t>Establish a resilient, globally diversified supply network to hedge raw material volatility at ₹125 Cr scale.</t>
  </si>
  <si>
    <t xml:space="preserve"> CCC Optimization</t>
  </si>
  <si>
    <t xml:space="preserve"> Inventory ABC Analysis</t>
  </si>
  <si>
    <t xml:space="preserve"> Raw Material Hedging</t>
  </si>
  <si>
    <t xml:space="preserve"> Supplier Diversification</t>
  </si>
  <si>
    <t xml:space="preserve"> ERP Integration</t>
  </si>
  <si>
    <t>Run 24/7 automated manufacturing cycles and operationalize the 2027 multi-location model.</t>
  </si>
  <si>
    <t xml:space="preserve"> Process Mapping &amp; SOPs</t>
  </si>
  <si>
    <t xml:space="preserve"> Automation Implementation</t>
  </si>
  <si>
    <t xml:space="preserve"> Multi-Location Blueprinting</t>
  </si>
  <si>
    <t xml:space="preserve"> Capacity Utilization</t>
  </si>
  <si>
    <t xml:space="preserve"> Quality Control Baseline</t>
  </si>
  <si>
    <t>Launch high-precision OEM parts portfolio and formally achieve IATF 16949 certification.</t>
  </si>
  <si>
    <t>IATF 16949 Gap Analysis</t>
  </si>
  <si>
    <t>QMS Certification Transition</t>
  </si>
  <si>
    <t>Precision Engineering Upgrade</t>
  </si>
  <si>
    <t xml:space="preserve"> Development Cycle Benchmarking</t>
  </si>
  <si>
    <t xml:space="preserve"> High-Margin Component Pivot</t>
  </si>
  <si>
    <t>Convert sample orders to recurring bulk export contracts and utilize the UAE as a trade gateway for Africa.</t>
  </si>
  <si>
    <t xml:space="preserve"> Targeted Export Intelligence</t>
  </si>
  <si>
    <t xml:space="preserve"> UAE Trade Gateway Setup</t>
  </si>
  <si>
    <t xml:space="preserve"> FTA &amp; Tariff Optimization</t>
  </si>
  <si>
    <t xml:space="preserve"> Standardized Global Agreements</t>
  </si>
  <si>
    <t xml:space="preserve"> Export Pipeline Digitalization</t>
  </si>
  <si>
    <t>Fund the ₹31 Cr revenue scale-up without experiencing a working capital crunch.</t>
  </si>
  <si>
    <t xml:space="preserve"> Liquidity Stress Testing</t>
  </si>
  <si>
    <t xml:space="preserve"> Trapped Capital Liberation</t>
  </si>
  <si>
    <t xml:space="preserve"> Export Incentive Maximization</t>
  </si>
  <si>
    <t xml:space="preserve"> Incremental ROCE Modeling</t>
  </si>
  <si>
    <t xml:space="preserve"> Automated Financial Dashboards</t>
  </si>
  <si>
    <t>Upskill the workforce to German OEM standards and seamlessly integrate 25 new jobs (10 white-collar, 15 blue-collar).</t>
  </si>
  <si>
    <t xml:space="preserve"> "Train-the-Trainer" Rollout</t>
  </si>
  <si>
    <t xml:space="preserve"> Technical Competency Matrix</t>
  </si>
  <si>
    <t xml:space="preserve"> Quality Management Training</t>
  </si>
  <si>
    <t xml:space="preserve"> New Hire Induction Program</t>
  </si>
  <si>
    <t xml:space="preserve"> Defect-Linked Incentive Structure</t>
  </si>
  <si>
    <t>Build a bottleneck-free, JIT-enabled global supply chain capable of sustaining rigorous export demands.</t>
  </si>
  <si>
    <t xml:space="preserve"> Casting Quality Resolution</t>
  </si>
  <si>
    <t xml:space="preserve"> Automated ABC Inventory Analysis</t>
  </si>
  <si>
    <t xml:space="preserve"> Just-In-Time (JIT) Enablement</t>
  </si>
  <si>
    <t xml:space="preserve"> Global Freight Optimization</t>
  </si>
  <si>
    <t xml:space="preserve"> Vendor Agreement Standardization</t>
  </si>
  <si>
    <t>Fully digitize production and achieve Tier-1 OEM "Zero Defect" quality to maximize the ₹30 Cr capacity ceiling.</t>
  </si>
  <si>
    <t xml:space="preserve"> Cloud ERP Implementation</t>
  </si>
  <si>
    <t xml:space="preserve"> Industrial IoT (IIoT) Integration</t>
  </si>
  <si>
    <t xml:space="preserve"> Toyota 5S &amp; 8D Problem Solving</t>
  </si>
  <si>
    <t xml:space="preserve"> Scrap Rate Benchmarking</t>
  </si>
  <si>
    <t xml:space="preserve"> Capacity Maximization</t>
  </si>
  <si>
    <t xml:space="preserve">Amsol industries private limited </t>
  </si>
  <si>
    <t xml:space="preserve">Kadillac Chemicals Pvt Ltd </t>
  </si>
  <si>
    <t xml:space="preserve">Ramprasad Tubes and Bars Pvt Ltd </t>
  </si>
  <si>
    <t xml:space="preserve">MIPA Industries </t>
  </si>
  <si>
    <t xml:space="preserve">GoWelMart </t>
  </si>
  <si>
    <t>Atreya Innovations</t>
  </si>
  <si>
    <t>Aniruddha</t>
  </si>
  <si>
    <t>A1: Annual Revenue Actuals FY25-26 (INR Cr) *</t>
  </si>
  <si>
    <t>A2: Projected Annual Revenue FY26 (INR Cr) *</t>
  </si>
  <si>
    <t>A3: Rating – Financial Health (1-5) *</t>
  </si>
  <si>
    <t>A4: Insights on Financial Health *</t>
  </si>
  <si>
    <t>A5: Rating – Leadership Capability &amp; Coachability (1-5) *</t>
  </si>
  <si>
    <t>A6: Insights on Leadership Capability &amp; Coachability *</t>
  </si>
  <si>
    <t>B1: Growth Idea Types (new_product / new_customer / new_geography) *</t>
  </si>
  <si>
    <t>B1a: Describe New Product or Service</t>
  </si>
  <si>
    <t>B1b: Describe New Target Customer</t>
  </si>
  <si>
    <t>B1c: Describe New Geography</t>
  </si>
  <si>
    <t>B2: Current Progress on Expansion Idea *</t>
  </si>
  <si>
    <t>B3: Incremental Revenue 3Y (INR Cr) *</t>
  </si>
  <si>
    <t>B4: Incremental Jobs 3Y (Direct + Indirect) *</t>
  </si>
  <si>
    <t>B5: Rating – Clarity of Expansion Idea (1-5) *</t>
  </si>
  <si>
    <t>B6: Comments on Clarity of Expansion *</t>
  </si>
  <si>
    <t>C1: GTM &amp; Market Expansion – Status *</t>
  </si>
  <si>
    <t>C1: GTM &amp; Market Expansion – Comments</t>
  </si>
  <si>
    <t>C2: Product &amp; Quality – Status *</t>
  </si>
  <si>
    <t>C2: Product &amp; Quality – Comments</t>
  </si>
  <si>
    <t>C3: Operations – Status *</t>
  </si>
  <si>
    <t>C3: Operations – Comments</t>
  </si>
  <si>
    <t>C4: Supply Chain – Status *</t>
  </si>
  <si>
    <t>C4: Supply Chain – Comments</t>
  </si>
  <si>
    <t>C5: Organizational Design – Status *</t>
  </si>
  <si>
    <t>C5: Organizational Design – Comments</t>
  </si>
  <si>
    <t>C6: Finance (Financial Readiness, Cashflow, Capital Adequacy) – Status *</t>
  </si>
  <si>
    <t>C6: Finance – Comments</t>
  </si>
  <si>
    <t>C7: Any Other Support Required *</t>
  </si>
  <si>
    <t>C8: Risks or Red Flags (if any) *</t>
  </si>
  <si>
    <t>D1: Final Recommendation (Proceed / Hold / Revisit Later) *</t>
  </si>
  <si>
    <t>D2: Program Category (Core / Select)</t>
  </si>
  <si>
    <t>D3: Additional Notes *</t>
  </si>
  <si>
    <t>Rahul Kumar</t>
  </si>
  <si>
    <t>Yes</t>
  </si>
  <si>
    <t>18 Cr</t>
  </si>
  <si>
    <t>36 Cr</t>
  </si>
  <si>
    <t>Scaling auto and defense volumes may require large investments and skills upgrades. Financial planning is required to align with ambitious growth targets.</t>
  </si>
  <si>
    <t>Leadership is committed but will need more clarity. Founders are open to coaching, acknowledging their inclination towards R&amp;D over scaling, and their need for structured external guidance.</t>
  </si>
  <si>
    <t>New product / New customer</t>
  </si>
  <si>
    <t>Expanding into fabricated waveguides, telescopic masts, aerospace/defense components, aluminium propeller shafts for autos, and patented sustainable yarn carriers.</t>
  </si>
  <si>
    <t>ISRO, private satellite firms, military/defense organizations, and automotive companies.</t>
  </si>
  <si>
    <t>It is still at the concept or development stage.</t>
  </si>
  <si>
    <t>100 Cr target</t>
  </si>
  <si>
    <t>Good job creation possibilities, considering the projected revenue growth.</t>
  </si>
  <si>
    <t>More clarity is needed on the expansion idea. Need to evaluate the market opportunities across the different segments. Over-diversification presents a risk of spreading too thin.</t>
  </si>
  <si>
    <t>Currently managing marketing themselves with limited dedicated sales resources. Need to build a dedicated sales/business development team, and require support with structured market intelligence, mapping, and a focused sales strategy.</t>
  </si>
  <si>
    <t>The company has a strong R&amp;D culture, deep technical credibility, certifications (AS9100D), and patent-backed products giving them blue-ocean positioning in certain categories.</t>
  </si>
  <si>
    <t>"Need to get ready" operationally, as most products and segments in the projections are still in development stages. The SME needs to shift from an "R&amp;D-first" to a "market-scaling" execution mindset.</t>
  </si>
  <si>
    <t>Not sure about the team's capability to develop the ability to sell. The SME lacks commercial scaling and production ramp-up bandwidth.</t>
  </si>
  <si>
    <t>The ambition to reach 100 crore is achievable only if financial investments are planned carefully. Support is required in financial planning for scale-up.</t>
  </si>
  <si>
    <t>Support is wanted in scaling up the business, project management and execution discipline, and mentorship on balancing R&amp;D with commercial growth.</t>
  </si>
  <si>
    <t>Many products and segments are currently under development. There are long approval cycles (e.g., in defense and space projects) that may extend timelines due to external circumstances, impacting their plans. Risk of over-diversification by chasing 6-7 opportunities simultaneously.</t>
  </si>
  <si>
    <t>Proceed</t>
  </si>
  <si>
    <t>FY25 revenue was ~₹26 crore, with a projection of ~₹30 crore for FY26.</t>
  </si>
  <si>
    <t>Perfectly aligned with the target ₹25-30 crore baseline for high-growth acceleration programs.</t>
  </si>
  <si>
    <t>In-vitro diagnostics (IVD), specializing in biochemistry reagents, immunology, and rapid test kits.</t>
  </si>
  <si>
    <t>A stable sector with high growth potential as the company pivots to high-margin, sophisticated diagnostics.</t>
  </si>
  <si>
    <t>Past revenues were negatively impacted by COVID; the company is currently restructuring assets and recapitalizing.</t>
  </si>
  <si>
    <t>Financing growth primarily through internal capital infusion from the founders, while keeping options open for external capital.</t>
  </si>
  <si>
    <t>The founders target aggressive growth, aiming to reach ₹100 crore by FY28 (within 3–4 years).</t>
  </si>
  <si>
    <t>Ambitious but achievable due to a massive 50% available manufacturing capacity and large owned real estate for expansion.</t>
  </si>
  <si>
    <t>The company has a 30-year legacy workforce with many senior staff approaching retirement, requiring a complete management overhaul.</t>
  </si>
  <si>
    <t>Requires transition support to build a technical, fresh-thinking, and KPI-driven management team.</t>
  </si>
  <si>
    <t>Plans to hire ~50 new white-collar roles (technical, sales) and ~100–150 new blue-collar roles as production scales.</t>
  </si>
  <si>
    <t>Strongly fits the job creation mandate of the Wadhwani Foundation, potentially creating up to 200 jobs, though automation might slightly balance this requirement.</t>
  </si>
  <si>
    <t>Clear product strategy to move to higher-margin products (hormones, cancer markers) and focus on exports (Africa, SE Asia).</t>
  </si>
  <si>
    <t>Strong foundation, but needs sharper business planning, Go-To-Market strategies, and execution support.</t>
  </si>
  <si>
    <t>The venture explicitly seeks strategic mentorship, ecosystem linkages, and deep market entry guidance for exports (Africa/SE Asia), which financial institutions cannot offer.</t>
  </si>
  <si>
    <t>No</t>
  </si>
  <si>
    <t>They have onboarded financial and operational consultants but seek the foundation specifically for structured tech adoption, best practices, and expert connections.</t>
  </si>
  <si>
    <t>The founders are actively overhauling their team, exploring SaaS-based ERP/CRM upgrades, and adopting KRAs/KPIs.</t>
  </si>
  <si>
    <t>Founders are already infusing personal capital and are open to taking external capital for growth.</t>
  </si>
  <si>
    <t>Matches the ₹25-30 Cr baseline revenue, 2-3x growth ambition, and the goal of creating ~150-200 total jobs.</t>
  </si>
  <si>
    <t>Yes, they hold 3,00,000 sq. ft. of owned space, 1,00,000 sq. ft. of land, and utilize only 50% of their 5 million tests/month capacity.</t>
  </si>
  <si>
    <t>~₹26 crore (FY25)</t>
  </si>
  <si>
    <t>~₹30 crore</t>
  </si>
  <si>
    <t>Impacted by COVID and market price squeezes on legacy products; currently restructuring assets and relying on personal capital infusion to recapitalize.</t>
  </si>
  <si>
    <t>Leadership acknowledges the gap and has hired external operational and financial consultants to upgrade legacy systems, demonstrating strong coachability.</t>
  </si>
  <si>
    <t>new_product / new_geography</t>
  </si>
  <si>
    <t>Transitioning from low-margin commodity kits to sophisticated, high-margin products like point-of-care cardiac markers, hormones, and cancer pre-screening tests.</t>
  </si>
  <si>
    <t>Shifting from a tender-driven government model to a brand-driven B2C and retail framework (pathology labs, doctors, smaller hospitals).</t>
  </si>
  <si>
    <t>Aggressively expanding exports to Africa and SE Asian countries to leverage better margins and upfront cash flows.</t>
  </si>
  <si>
    <t>They have secured an import license to trade 40-50 high-value products to seed the market and are overhauling the team to handle this new direction.</t>
  </si>
  <si>
    <t>~₹70 Crore (Growing from ~₹30 Cr to ₹100 Cr target)</t>
  </si>
  <si>
    <t>~150 to 200 jobs</t>
  </si>
  <si>
    <t>Highly clear on the "what" (export expansion, high-value products) and currently establishing the "how" through hired consultants and Wadhwani mentorship.</t>
  </si>
  <si>
    <t>Require deeper market intelligence and specific expert guidance to navigate market entry strategies for new international targets.</t>
  </si>
  <si>
    <t>Very strong foundation. Already possess ISO 13485, CE marking, and Class B/D licensing for infectious diseases. Now focusing on licensing/developing advanced immunoassays.</t>
  </si>
  <si>
    <t>Currently at 50% utilization; aiming to incorporate SaaS-based ERPs and lean manufacturing automation to scale output without massive manpower reliance.</t>
  </si>
  <si>
    <t>Need to shift their distribution framework from tender dependencies to robust brand-driven retail networks across Tier-2/3 settings.</t>
  </si>
  <si>
    <t>Massive overhaul ongoing due to retiring legacy staff; urgent need to introduce technical sales teams and structured KPI/KRA performance systems.</t>
  </si>
  <si>
    <t xml:space="preserve">Red </t>
  </si>
  <si>
    <t>Currently resolving past negative cash flows post-COVID and planning the proper financial controls/recapitalization with the help of financial consultants.</t>
  </si>
  <si>
    <t>Mentorship on technological adoption, market entry strategies, organizational restructuring, and connection to fundraising linkages.</t>
  </si>
  <si>
    <t>Commoditization of legacy products (e.g., pregnancy kits dropping from ₹120 to ₹5), which squeezes margins. Automation may reduce the total number of blue-collar jobs generated, contrary to initial mandates.</t>
  </si>
  <si>
    <t>Reckon Diagnostics is at a pivotal inflection point. While infrastructure and regulatory elements are strongly established, achieving the 3-4x growth (₹100 Cr target) will heavily depend on successful GTM execution, export expansion, and overcoming legacy organizational habits.</t>
  </si>
  <si>
    <t>22 Cr (FY25-26 Q1-Q3 Actuals) / ~25 Cr</t>
  </si>
  <si>
    <t>25 Cr</t>
  </si>
  <si>
    <t>We are not able to comment at the moment due to insufficient information however considering current margin level debt plus equity with proper business plan funding should not be a issue.</t>
  </si>
  <si>
    <t>Ready to learn, Experiment, Adapt changes. Good commitment level, Adaptability, Accept change are perceived which are important factors.</t>
  </si>
  <si>
    <t>Moving from current outsourcing model to in-house manufacturing (backward integration), along with exploring new domestic customers and deepening exports in existing geographies.</t>
  </si>
  <si>
    <t>Backward integration for select processes to strengthen quality control and to ensure margins are improved.</t>
  </si>
  <si>
    <t>Leveraging domestic opportunities in the automotive, pump &amp; valves, and general engineering sectors.</t>
  </si>
  <si>
    <t>Deepening exports in existing geographies including USA, Mexico, Germany, Italy, and Israel.</t>
  </si>
  <si>
    <t>Exact expansion plan was not shared however starting inhouse manufacturing and increase in margin is plan for the immediate future.</t>
  </si>
  <si>
    <t>Overall about 60 to 80.</t>
  </si>
  <si>
    <t>Overall 75 to 100.</t>
  </si>
  <si>
    <t>The concept is clear moving from outsourced model to doing things inhouse this need to be backed up by detailed capex payback projected margins DSCR and other vital financial indicators.</t>
  </si>
  <si>
    <t>Growth potential is evident considering untapped market, increase in share of business with existing customers. Need a documented feasibility which we could not see in the interaction.</t>
  </si>
  <si>
    <t>The company has a diversified product range and good quality systems in place with customer audits. However, there is no senior dedicated technical lead for new product development.</t>
  </si>
  <si>
    <t>The current approach is Excel-based; ERP is a must for scaling. Needs a smooth transition plan from the outsourced model to the in-house model.</t>
  </si>
  <si>
    <t>Current model is dependent on vendors, balanced business model combination of outsourcing and insourcing backed up by a detailed business plan is vital.</t>
  </si>
  <si>
    <t>With current head count the bandwidth seems to be a constraint , New hiring inline with business plan will be the important aspect for successful transition.</t>
  </si>
  <si>
    <t>We could not see a detailed plan of action to ensure smooth transition... A detailed plan with techno commercial feasibility with all assumptions is required to be documented.</t>
  </si>
  <si>
    <t>Detailed Business Plan, Setting up entire manufacturing and supply chain, robust systems and SOP. To ensure margins are not only protected but are improved in view of backward integration.</t>
  </si>
  <si>
    <t>Current model is heavily dependent on vendors, and bandwidth is a constraint with the current headcount. There is also a scaling risk ("What got you here won't get you there") as the founder needs to move from operational firefighting to strategy.</t>
  </si>
  <si>
    <t>Not as such, most of the points are already mentioned.</t>
  </si>
  <si>
    <t>The venture is a stable mid-sized operation with an FY25 revenue of ₹59 Cr and a workforce of 82 employees (7 white-collar, 75 blue-collar).</t>
  </si>
  <si>
    <t>Operating at high utilization (85%) with a proven track record, making it an ideal size for a structured scale-up program.</t>
  </si>
  <si>
    <t>Operates in the Chemicals and Petrochemicals industry, manufacturing benzyl derivatives for agro-chemicals, pharma, food, and fragrances.</t>
  </si>
  <si>
    <t>Highly lucrative sector with strong domestic and overseas market potential, though cyclic in nature.</t>
  </si>
  <si>
    <t>The company is currently 100% bootstrapped and completely debt-free.</t>
  </si>
  <si>
    <t>Will require evaluation of debt-equity models to fund the new global trading arm without constraining cash flows.</t>
  </si>
  <si>
    <t>Highly ambitious plan to triple revenue to ₹180 Cr by FY28.</t>
  </si>
  <si>
    <t>The growth roadmap breaks down clearly into ₹85 Cr for FY27 and ₹180 Cr for FY28 via forward integration and export trading.</t>
  </si>
  <si>
    <t>A lean white-collar team of 7 people suffering from severe retention issues and a continuous "recruit, train, and leave" loop.</t>
  </si>
  <si>
    <t>Urgent need to implement KPI/KRA-driven compensation and hire middle management to decentralize operations.</t>
  </si>
  <si>
    <t>The expansion will stabilize the total workforce at around 100-105 employees.</t>
  </si>
  <si>
    <t>Moderate volume of new jobs (~20-25 roles, adding 4-5 white-collar and 15-20 blue-collar jobs).</t>
  </si>
  <si>
    <t>The growth idea is formulated, but execution readiness is low. They lack deep global market research and digitized ERP systems (currently running on Tally/Excel).</t>
  </si>
  <si>
    <t>Immediate need for a structured GTM action plan and technology integration to unlock the expansion.</t>
  </si>
  <si>
    <t>Banks can provide capital, but the venture requires deep strategic support in HR restructuring, international market research, and digitalization.</t>
  </si>
  <si>
    <t>Wadhwani's structured consulting is uniquely suited to transition them from a legacy manual family business to modernized global operations.</t>
  </si>
  <si>
    <t>The owner is highly receptive to feedback, openly acknowledges weaknesses in HR and market research, and actively wants to adopt new KPI and technology platforms.</t>
  </si>
  <si>
    <t>Open to exploring the suggested debt-equity funding model and investing in team development and technical integrations.</t>
  </si>
  <si>
    <t>The baseline revenue, debt-free status, and target to achieve 3X growth perfectly align with the foundation's scaling parameters.</t>
  </si>
  <si>
    <t>While currently lean, the founder is actively looking to build bandwidth by investing in technical and leadership talent.</t>
  </si>
  <si>
    <t>₹59 Cr (Actuals for closed FY24-25).</t>
  </si>
  <si>
    <t>₹25 Cr (Due to scheduled 4-5 month plant structural maintenance and a cyclical industry slowdown).</t>
  </si>
  <si>
    <t>Financially sound, entirely bootstrapped, and 100% debt-free.</t>
  </si>
  <si>
    <t>The founder demonstrates high coachability by acknowledging current flaws (e.g., Tally/Excel reliance, lack of KPIs) and actively welcoming consultant recommendations.</t>
  </si>
  <si>
    <t>Forward integration into higher-margin specialty benzyl derivatives and a new trading aggregator service bundling full container chemical shipments.</t>
  </si>
  <si>
    <t>European and US clients requiring single-source consolidated chemical containers.</t>
  </si>
  <si>
    <t>Direct exports to Europe and the USA.</t>
  </si>
  <si>
    <t>Early planning phase; lacks printable data and deep market research to proceed to CapEx.</t>
  </si>
  <si>
    <t>~₹121 Cr (Scaling from ₹59 Cr base to ₹180 Cr target).</t>
  </si>
  <si>
    <t>~20-25 new jobs.</t>
  </si>
  <si>
    <t>The revenue modeling (₹50 Cr to ₹85 Cr to ₹180 Cr) is mathematically clear, but execution requires missing export data and regulatory validations.</t>
  </si>
  <si>
    <t>Deep export market research is critically missing; currently relying only on Indian port data or basic web searches.</t>
  </si>
  <si>
    <t>Product-market fit is tied to the successful execution of the new forward-integrated specialty product pipeline.</t>
  </si>
  <si>
    <t>Extremely legacy-driven operations relying on Excel and Tally without an ERP. Production capacity is bottlenecked by Pollution Control Board limits on hydrochloric acid waste.</t>
  </si>
  <si>
    <t>Requires setting up a domestic vendor network to procure external chemicals to fulfill the "manufacturing + trading" aggregator model.</t>
  </si>
  <si>
    <t>Severe "fresher attrition loop" due to a vanilla fixed-pay model lacking KPIs or performance incentives. Needs a complete compensation overhaul.</t>
  </si>
  <si>
    <t>Currently running entirely on internal funds; needs to model debt-to-equity structuring to support the working capital requirements of the new trading arm.</t>
  </si>
  <si>
    <t>Structuring long-term employee retention policies and digitizing management tracking.</t>
  </si>
  <si>
    <t>High white-collar attrition, lack of technological infrastructure, and manufacturing bottlenecks caused by chemical waste caps.</t>
  </si>
  <si>
    <t>While the venture faces a temporary drop in FY26 due to cyclic trends and scheduled plant maintenance, their multi-pronged expansion plan to hit ₹180 Cr is robust. Active guidance in implementing ERPs, HR KRAs, and executing global market research will be key.</t>
  </si>
  <si>
    <t>55 (FY25)</t>
  </si>
  <si>
    <t>Up to 100 crores growth is not an issue, and they have land readily available for a new setup. From 100-200 crores, a detailed plan is not in place. The balance sheet is strong, with 7 crores of credit limit available out of a 10 crore total.</t>
  </si>
  <si>
    <t>The promoters appear invested in their growth idea, committed to achieving it, and are coachable to accept and adopt guidance.</t>
  </si>
  <si>
    <t>new_product / new_customer / new_geography</t>
  </si>
  <si>
    <t>Value-added product lines, precision-engineered components, finished and machined castings, custom bright bar profiles, precision tubes, and specialty alloy products.</t>
  </si>
  <si>
    <t>Tier 1, OEMs, automotive, electric vehicles, and pneumatic/hydraulic industries.</t>
  </si>
  <si>
    <t>Export markets and foreign collaborations.</t>
  </si>
  <si>
    <t>Capacities have been enhanced in the bright bar division (12,000 tons) and foundry division (18,000 tons). The units are currently underutilized and can support incremental production up to 100 crores with minimal infrastructure changes. Additionally, a peeling line and combined draw bench will arrive by the end of the year.</t>
  </si>
  <si>
    <t>Target is to achieve 200 Crores (Incremental from current 60 Cr to 200 Cr).</t>
  </si>
  <si>
    <t>Around 10% addition in direct hires (20-25 numbers), with indirect job creation potentially being higher.</t>
  </si>
  <si>
    <t>Promoters have clarity and are aware of how to grow up to 100 crores, but they need handholding and a strategy to grow from 100 to 200 crores.</t>
  </si>
  <si>
    <t>The venture needs support with customer acquisition and tackling the export market, including establishing foreign collaborations.</t>
  </si>
  <si>
    <t>The company struggles to achieve precision in tubes. They intend to introduce automation in their inspection and machining processes to enhance quality, speed, and efficiency.</t>
  </si>
  <si>
    <t>Facilities are underutilized and there is scope for improvement in internal systems.</t>
  </si>
  <si>
    <t>The company needs support to improve organizational culture and set up broad level KPIs. While manpower is skilled, promoters noted there is a 20-30% scope for improvement in team capability and behavior.</t>
  </si>
  <si>
    <t xml:space="preserve">GREEN </t>
  </si>
  <si>
    <t>The company has payment issues with some clients, but the balance sheet is strong with an unutilized credit limit of 7 crores out of 10 crores.</t>
  </si>
  <si>
    <t>Support to develop an overall strategy for investment, diversification, and business planning from 100 to 200 crores. They also require connections to technical experts for manufacturing pneumatic/hydraulic precision tubes.</t>
  </si>
  <si>
    <t>Can proceed as most of the areas where support is sought can be handled by the Wadhwani Foundation.</t>
  </si>
  <si>
    <t>80 Crore for FY24-25, and expected to cross 100-110 Crore for FY25-26</t>
  </si>
  <si>
    <t>100 Crore</t>
  </si>
  <si>
    <t>The company manages its finances through incremental sales but lacks a long cash runway due to the seasonal nature of the farmer-end business (carries cash equivalent to roughly 6 months). Capital adequacy is at a lower level, meaning any expansion relies heavily on bank financing.</t>
  </si>
  <si>
    <t>The business owner possesses strong product and technical knowledge but lacks execution speed. The owner has developed a new perspective that diversification and an organized structure are necessary for steady, higher-margin growth, and is committed to being coached and supported to professionalize the organization.</t>
  </si>
  <si>
    <t>New Products, New Customers, New Geography</t>
  </si>
  <si>
    <t>Agro sustainability products – mulch films, weed mats, aquaculture liners</t>
  </si>
  <si>
    <t>Agriculture, aquaculture, water conservation, infrastructure (including municipal and state irrigation packages)</t>
  </si>
  <si>
    <t>South Asia, the Middle East, and Africa (Strengthen exports)</t>
  </si>
  <si>
    <t>Has expanded beyond tarpaulins into a full agro-textile suite. A DPR has been submitted to the Maharashtra Govt for MIDC Land (expected before March 2026), and they've invested in new machinery for vertical integration.</t>
  </si>
  <si>
    <t>Target is ₹300 Cr within 3–5 years (an incremental increase of ~₹220 Cr from the current ₹80 Cr).</t>
  </si>
  <si>
    <t>Estimated net new of 150 employees (to reach 300 total employees for the 300 Cr target), unless reduced by automation/training.</t>
  </si>
  <si>
    <t>The expansion idea is clear and well-defined. The plan encompasses market diversification, venturing beyond existing customers, and pursuing high-probability adjacencies.</t>
  </si>
  <si>
    <t>Currently, GTM is missing and highly dependent on e-commerce distribution and dealers. The market relies on the current set of distributions, and there's a lack of market insights.</t>
  </si>
  <si>
    <t xml:space="preserve">AMBER </t>
  </si>
  <si>
    <t>Strong product diversity and excellent manufacturing expertise in polymer conversion. Good product breadth, but limited evidence of organized market focus.</t>
  </si>
  <si>
    <t>Lack of planning and scheduling. Operating at 50% capacity utilization (capacity reserved for seasonal demand). Processes and systems operate for single orders instead of continuous process flow.</t>
  </si>
  <si>
    <t>Marginal inventory holding for 10-15 days, resulting in short-term cash lock-ups. Large government projects are managed through agents to avoid payment delays.</t>
  </si>
  <si>
    <t>Complete absence of organizational structure. Employee roles are undefined except on the production floor. There is no HR, Finance, or Training department, and no ERP/CRM systems.</t>
  </si>
  <si>
    <t>Possesses a working capital facility of ₹10 Cr. Pondliners have good margins aiding cash flow, but overall capital adequacy is low and funding is needed for expansion.</t>
  </si>
  <si>
    <t>Require coaching and support for Export procedures. May need to engage external consultants to build Sales, HR, and Finance teams.</t>
  </si>
  <si>
    <t>High dependence on seasonal demand and government project financing. Executing large-scale government packages requires capabilities beyond factory-floor operations, and currently, the company lacks functional organization.</t>
  </si>
  <si>
    <t>The owner works continuously with the government for Product Standardization and farmer policy input. A key growth tactic will be partnering with established EPC contractors on initial large tenders to reduce execution risk and build a track record.</t>
  </si>
  <si>
    <t>70 (The business achieved 70 Cr in FY 24-25 and has already touched 70 Cr by September 2025 for FY 25-26).</t>
  </si>
  <si>
    <t>The business is cash flow positive on a month-on-month basis. However, to expand, it will require cash flows to pay and procure materials from contract manufacturers. In the accessories business, some vendors do offer credit. Profitability of 20% in the own-brand accessories space provides a significant opportunity to expand overall margins.</t>
  </si>
  <si>
    <t>Young, but committed leader. Willing to put in the hard work and eager to grow. The founder was clear about the expectations of the programme and that support is required.</t>
  </si>
  <si>
    <t>new_product, new_customer, new_geography.</t>
  </si>
  <si>
    <t>Creating an own brand of entry-level mobile accessories (neckbands, TWS, power banks) via OEM white labeling.</t>
  </si>
  <si>
    <t>T1 distributors and general trade (GT) retailers across 20 new states via a franchisee model, corporate clients for direct B2B gifting, and international buyers in the Middle East.</t>
  </si>
  <si>
    <t>Pan India (expansion into 20 new states) and the Middle East (specifically Dubai, potentially extending to Africa and Europe).</t>
  </si>
  <si>
    <t>An order has been placed for OEM white labelling in Delhi, and they are waiting for BIS and hallmark numbers to launch. For exports, the founder has already visited Dubai to explore market dynamics.</t>
  </si>
  <si>
    <t>400 (Projected to grow from current ~100 Cr run rate to 500 Cr in 3-5 years).</t>
  </si>
  <si>
    <t>600 (Expected 10-20 direct in-house jobs; 100 jobs via T1 distributors in 20 states; and 500 jobs via retailers in 20 states).</t>
  </si>
  <si>
    <t>Clear, but needs to be documented and broken into monthly milestones with defined priorities. The scope for expansion into Dubai and the focus on the lower segment through the creation of an own brand are clear.</t>
  </si>
  <si>
    <t>The intent and path are clear for the SMB. Handholding and guidance will be required for distributor identification, branding, and marketing of new products.</t>
  </si>
  <si>
    <t>Existing USP is low-price procurement and 24-hour delivery in Tamil Nadu. The new own-brand accessories will be targeted at entry-level price points (Rs. 300 to 700) where margins of 20-25% can be realized.</t>
  </si>
  <si>
    <t>The business uses an ERP linked with a B2B app, allowing automated ordering and predictive inventory optimization. Current operations guarantee delivery within 24 hours across Tamil Nadu.</t>
  </si>
  <si>
    <t>Procurement happens across India (Hyderabad, Delhi, Ahmedabad). The business uses 30 channel partners in Tamil Nadu who handle direct-to-retailer localized delivery and collections without intermediaries.</t>
  </si>
  <si>
    <t>The team of about 40 persons in the HO managing current operations seems more operational and requires the professionalization of some HoDs. The founder currently has 5 direct reports heading HR/Admin/Marketing, Accounts/Customer Care, Purchase, Warehouse, and Store.</t>
  </si>
  <si>
    <t>The business strictly operates on an advance cash-and-carry basis with retailers. Will need to raise funds to handle working capital crunches for exports (such as 18 lakh GST blockages on 1 Cr stock exports). Aims for an IPO in 3-5 years.</t>
  </si>
  <si>
    <t>Requires support to identify partners in other states and the Middle East. Additionally needs an IPO consultant and support in auditing internal systems prior to an IPO. Needs assistance in putting business plans/SOPs onto paper and figuring out export compliances.</t>
  </si>
  <si>
    <t>Working capital could be severely impacted by GST hold-ups during initial export operations. The ability to maintain their 24-hour delivery guarantee outside Tamil Nadu remains untested. Most job creation potential is indirect, which may face scrutiny against strict job-creation impact metrics. Business plans currently exist only in the founder's head and lack formal documentation.</t>
  </si>
  <si>
    <t>Expanding into own-brand accessories represents a major strategic shift from generating thin margins (4% on mobile phones) to much higher profitability (20-25%). The panel noted that the founder is highly enterprising, hard-working, and clear about what he wants to achieve.</t>
  </si>
  <si>
    <t>Current revenue is ₹90 Crores, expected to reach ₹130 Crores this financial year.</t>
  </si>
  <si>
    <t>Air Pollution Control Systems. The global market is projected to grow at a CAGR of 5.3%, with India being a high-potential market due to stricter environmental enforcement.</t>
  </si>
  <si>
    <t>The evaluator assigned a score of 3.</t>
  </si>
  <si>
    <t>A ₹20 Crore CapEx budget is planned for expansion, particularly in Central India (Unit 2). This will be funded with 50% internal accruals and 50% debt.</t>
  </si>
  <si>
    <t>The evaluator assigned a score of 4.</t>
  </si>
  <si>
    <t>The venture is highly ambitious, aiming to scale from ₹90-130 Crores to ₹280 Crores by FY27-28.</t>
  </si>
  <si>
    <t>The venture has a good organizational structure in place, but needs a review of KRAs and KPIs, and must transition from owner-driven to system-driven.</t>
  </si>
  <si>
    <t>The evaluator assigned a score of 4. The leadership is committed, coachable, and open to guidance.</t>
  </si>
  <si>
    <t>Anticipates creating 50 direct jobs (30 white-collar, 20 blue-collar) and 10-15 indirect jobs.</t>
  </si>
  <si>
    <t>Generating 50-65 jobs makes them a very good candidate that perfectly aligns with the foundation's objective.</t>
  </si>
  <si>
    <t>The leadership has fair clarity of the expansion idea, and the capacity ramp-up plan is detailed.</t>
  </si>
  <si>
    <t>The owners acknowledge they are currently owner-driven and explicitly want to establish processes, SOPs, and professional systems to support a 5X growth.</t>
  </si>
  <si>
    <t>The owners are willing to fund 50% of the ₹20 Crore expansion CapEx directly through internal accruals.</t>
  </si>
  <si>
    <t>The venture fits the program well; they have a strong growth trajectory, need mentoring to establish systems, and will create 50-65 jobs, perfectly matching the foundation's objectives.</t>
  </si>
  <si>
    <t>The team is capable (150 employees currently), but some upskilling and the addition of specialized talent (especially in project management) are required.</t>
  </si>
  <si>
    <t>Current actual is ₹90 Crores, with clear visibility to hit ₹130 Crores for the current fiscal year.</t>
  </si>
  <si>
    <t>₹210 Crores for FY 26-27.</t>
  </si>
  <si>
    <t>Overall cash flow is positive and managed well at the macro level by the founder. They plan to fund the ₹20 Cr expansion with 50% internal accruals and 50% debt. However, project-level financial tracking needs significant improvement.</t>
  </si>
  <si>
    <t>Leadership is highly committed to the expansion idea, coachable, and actively open to receiving guidance. The existing organizational structure is good, though the team needs upskilling.</t>
  </si>
  <si>
    <t>Expanding into Waste-to-Energy products, Bio-CNG systems, Flue Gas Conditioning systems, and currently testing IoT-based controllers.</t>
  </si>
  <si>
    <t>Entering the Cement industry, Waste-to-Energy, Pharma, and Food sectors. They are also leveraging past track records to bid for larger EPC contracts (₹70+ Crores).</t>
  </si>
  <si>
    <t>Setting up a new manufacturing facility in Central India (Madhya Pradesh) to become pan-Indian, and aggressively increasing exports (to SE Asia, South America, and Africa) from 3% to 30%.</t>
  </si>
  <si>
    <t>They have already expanded their factory in Coimbatore and are ready to handle ₹210 Crores capacity. The ₹20 Crore CapEx for the Central India Unit 2 is planned in a staggered 2-3 year phase. Technical collaborations with European/Chinese firms are actively in progress.</t>
  </si>
  <si>
    <t>₹150 - ₹190 Crores (Growing from the current ₹90/130 Cr to ₹280 Cr by FY28).</t>
  </si>
  <si>
    <t>60-65 total jobs (50 direct: 30 white-collar &amp; 20 blue-collar, plus 10-15 indirect).</t>
  </si>
  <si>
    <t>The leadership has fair clarity of the expansion idea, and the plan with respect to ramping up manufacturing capacity is worked out in detail.</t>
  </si>
  <si>
    <t>The company feels well-equipped in sales and marketing with only minor tweaking needed. They are strategically pushing into the Cement industry and aiming to increase exports significantly.</t>
  </si>
  <si>
    <t>The company is nearing the completion of major IMS certifications, including ISO 9001, 14000, and 45000.</t>
  </si>
  <si>
    <t>Operations are heavily owner-driven. They lack adequate automated project management tools, resource mapping, and deadline review mechanisms, which currently leads to cost and time overruns during site installations.</t>
  </si>
  <si>
    <t>To support growth without excessive blue-collar hiring, they plan to outsource the non-critical parts of their manufacturing.</t>
  </si>
  <si>
    <t>While a good structure exists, the company needs a thorough review of standard operating procedures (SOPs), KRAs, and KPIs. They also require a fresh implementation of a Performance Management System (PMS).</t>
  </si>
  <si>
    <t>Macro-level cash flow is managed well by the founder, but project-level financial tracking is weak. They need to equip project managers to handle cash flows to alleviate owner dependency.</t>
  </si>
  <si>
    <t>Project management tools, setting up automated MIS/processes, drafting SOPs, and establishing clear accountability through KPIs.</t>
  </si>
  <si>
    <t>High founder dependency causing an operational bottleneck. Cost and time overruns during field service/installation due to a lack of standard tracking tools. Project delays inherently impact cash flow.</t>
  </si>
  <si>
    <t>Unicon is an excellent candidate for the program. The Air Pollution Control sector has a strong growth trajectory (5.3% CAGR). Mentoring support on processes and scaling their export market will have a very strong impact on their bottom line.</t>
  </si>
  <si>
    <t>The venture's revenue is 90 Crores INR, and they currently have 5 white-collar and 10 blue-collar employees on payroll.</t>
  </si>
  <si>
    <t>Spices exports CAGR is in double digits growth, and India contributes to 40%+ of the global consumption in volumes.</t>
  </si>
  <si>
    <t>There is a rising demand for natural, traceable, chemical-free spices, and regulatory compliance is supportive of organised exporters.</t>
  </si>
  <si>
    <t>The venture currently has unutilised 7 Crore CC limits with their bankers, which can be enhanced as the need arises.</t>
  </si>
  <si>
    <t>Cash flow and capital needs are adequately available.</t>
  </si>
  <si>
    <t>Target is 150 Crores INR. They plan to expand operations to new geographies (Europe, USA, Africa, etc.), upgrade compliance and certifications, and diversify into value-added products and private labeling,.</t>
  </si>
  <si>
    <t>The promoter is well involved in the business operationally and hence has clear pragmatic expansion plans.</t>
  </si>
  <si>
    <t>Leadership commitment is high.</t>
  </si>
  <si>
    <t>Teams' capability is adequate.</t>
  </si>
  <si>
    <t>15 to 20 more blue-collar jobs are a possibility.</t>
  </si>
  <si>
    <t>Manpower requirements are well within the circle of influence.</t>
  </si>
  <si>
    <t>Focused on Business Development &amp; Revenue growth, Margins Improvement, and Re-structuring an effective organogram.</t>
  </si>
  <si>
    <t>The venture has 7 Cr unutilised bank limits, but specific alternative external investor support is not explicitly detailed.</t>
  </si>
  <si>
    <t>The owner is aware of their shortcomings, not egoistic, and openly seeking feedback and external help to grow out of current operational bottlenecks,.</t>
  </si>
  <si>
    <t>Willingness to engage is very high.</t>
  </si>
  <si>
    <t>Revenue growth is in line with the program objectives.</t>
  </si>
  <si>
    <t>The SME committed to allocating 7 to 8 hours weekly during work hours, plus an additional 5-6 extra hours offline if needed for the program.</t>
  </si>
  <si>
    <t>90 Cr (Actuals for FY 24-25, FY 25-26 is currently ongoing).</t>
  </si>
  <si>
    <t>~95 Cr.</t>
  </si>
  <si>
    <t>Cash flow and capital needs are adequately available. They have unutilised 7 Cr CC limits and the ability to secure unsecured loans easily from local networks,,.</t>
  </si>
  <si>
    <t>Leadership commitment is high. The promoter is highly coachable, openly embraces external expertise, and operates pragmatically,,.</t>
  </si>
  <si>
    <t>new_product, new_customer, new_geography,,</t>
  </si>
  <si>
    <t>Value-added product diversification (custom seasoning blends, powders) and accelerated private labeling,,,.</t>
  </si>
  <si>
    <t>International B2B modern trade customers, international supermarkets, and private label brand owners,.</t>
  </si>
  <si>
    <t>Expanding operations extensively into Europe, USA, and Africa,.</t>
  </si>
  <si>
    <t>Building a new 2-ton/hour EU and US FDA-compliant facility, ready by December/February, and already receiving LOIs from major customers waiting on this certification,.</t>
  </si>
  <si>
    <t>45 to 60 Cr (Targeting 135-150 Cr from the current 90 Cr base),,.</t>
  </si>
  <si>
    <t>Clear focus on upgrading to EU/USFDA compliance to crack lucrative western markets, heavily scaling private labeling, and leveraging the massive upcoming capacity boost,.</t>
  </si>
  <si>
    <t xml:space="preserve">RED </t>
  </si>
  <si>
    <t>Need to aggressively enhance distribution partners in new geographies, digitize B2B integration, and actively build brand awareness via international trade fairs. Exploring a trading hub in Dubai,,.</t>
  </si>
  <si>
    <t>Upgrading certifications (EU/USFDA) and operationalising an in-house end-to-end laboratory to guarantee pesticide-free and traceable products,.</t>
  </si>
  <si>
    <t>Currently operating 4 facilities at 110% capacity. Transitioning production to a new highly automated 2-ton/hour facility to manage massive volume scales,.</t>
  </si>
  <si>
    <t>AMBER</t>
  </si>
  <si>
    <t>Highly dependent on seasonal commodity cycles and direct procurement from farmers. Requires strategies for inventory shock hedging,.</t>
  </si>
  <si>
    <t>RED</t>
  </si>
  <si>
    <t>The founder is currently the operational bottleneck in a flat organization. Urgent need to hire second-line leadership, restructure the organogram, and learn to delegate effectively,,.</t>
  </si>
  <si>
    <t>Sufficient capital with unutilized CC limits (7 Cr) and access to unsecured debt. Requires strategic mentorship on margin optimization and capital deployment rather than fund-raising,,,.</t>
  </si>
  <si>
    <t>FOREX volatility, dependence on imported raw material, creating brand stickiness in a highly price-sensitive commodity market, and crop quality damage due to weather cycles,,.</t>
  </si>
  <si>
    <t>The SME is at a crucial inflection point, transitioning from a bulk commodity trader to a corporatized, high-capacity, private-label manufacturer,,.</t>
  </si>
  <si>
    <t>Annual Revenue for FY25 is ₹38 Cr, and it is expected to close the current year (FY26) at ₹45 Cr.</t>
  </si>
  <si>
    <t>The current facility and under-construction facilities can take the organization to ₹75-80 Crores, with a further upward potential of ₹20 Crores.</t>
  </si>
  <si>
    <t>Specialized manufacturer and supplier of printed labels, barcode labels, ribbons, stickers, scanners, and printers for FMCG, packaging, and industrial applications.</t>
  </si>
  <si>
    <t>Outlook is strongly positive. The overall packaging industry is growing at ~12–14% CAGR, and the domestic labels market at ~8-10% CAGR, driven by rising demand for customized packaging.</t>
  </si>
  <si>
    <t>Financial Readiness, Cashflow, and Capital Adequacy are rated 4/5.</t>
  </si>
  <si>
    <t>The corrugation packaging unit is in progress with land rented and machinery ordered, but the venture needs funds to establish and expand other parts of the business.</t>
  </si>
  <si>
    <t>Clarity of Expansion Idea rated 4/5. Plans include corrugated packaging, tape business, multi-location manufacturing by 2027, and expanding export sales.</t>
  </si>
  <si>
    <t>Revenue Target of ₹125 Crores within 3 years.</t>
  </si>
  <si>
    <t>Leadership Commitment &amp; Mindset rated 4/5.</t>
  </si>
  <si>
    <t>Leadership is committed, invested in the growth plan, and open to receiving coaching and mentoring.</t>
  </si>
  <si>
    <t>Around 75 direct jobs and 10-15 indirect jobs via distribution channels.</t>
  </si>
  <si>
    <t>Job creation potential is inline with program objectives.</t>
  </si>
  <si>
    <t>Clarity of Expansion Idea rated 4/5.</t>
  </si>
  <si>
    <t>The promoter has good clarity of the expansion idea and has actively begun working on it.</t>
  </si>
  <si>
    <t>The venture needs funds in establishing and expanding parts of the business.</t>
  </si>
  <si>
    <t>The leadership team appears open to receiving coaching, mentoring, and guidance.</t>
  </si>
  <si>
    <t>The owner has already rented land and placed orders for corrugation machinery.</t>
  </si>
  <si>
    <t>The job creation potential (75+ direct, 10-15 indirect jobs) is inline with the program's objectives.</t>
  </si>
  <si>
    <t>Team capability is told to be good, especially on the technical front, with skillsets relevant to the growth plan.</t>
  </si>
  <si>
    <t>₹38 Cr (FY25)</t>
  </si>
  <si>
    <t>₹45 Cr</t>
  </si>
  <si>
    <t>Corrugation packaging unit is in progress. Needs funds in establishing and expanding other parts of the business.</t>
  </si>
  <si>
    <t>Leadership appears invested in the growth plan, is committed, and open to receiving coaching/mentoring.</t>
  </si>
  <si>
    <t>new_product, new_customer, new_geography</t>
  </si>
  <si>
    <t>Enter corrugated packaging business (by Jan 2026) and expand tape business.</t>
  </si>
  <si>
    <t>More penetration into the existing market and clientele.</t>
  </si>
  <si>
    <t>Expand export sales (identified Africa) and start a multi-location manufacturing model by 2027.</t>
  </si>
  <si>
    <t>Construction is in progress for the corrugated packing line (over by Jan 2026). Tape plant will be ready by December. Identified Africa for core exports.</t>
  </si>
  <si>
    <t>₹125 Crores target</t>
  </si>
  <si>
    <t>Around 75 direct jobs and 10-15 indirect jobs.</t>
  </si>
  <si>
    <t>The promoter has good clarity of the expansion idea and has already started working on it.</t>
  </si>
  <si>
    <t>Needs support in planning exports, sales, and marketing. Expanding export sales specifically in Africa.</t>
  </si>
  <si>
    <t>Only basic systems are currently in place.</t>
  </si>
  <si>
    <t>The current facility and those under construction have high capacity potential, but operations currently run on basic systems.</t>
  </si>
  <si>
    <t>10-15 indirect jobs will be created via distribution channels.</t>
  </si>
  <si>
    <t>Support required to build a second line of leadership, establish a Performance Management System (KRAs &amp; KPIs), and build communication skillsets for client interaction.</t>
  </si>
  <si>
    <t>Corrugation packaging unit is in progress; needs funds for establishing and expanding other business aspects.</t>
  </si>
  <si>
    <t>Overall mentoring/advisory on business management.</t>
  </si>
  <si>
    <t>Only basic operational systems are in place, needing structural upgrades to match the scaling.</t>
  </si>
  <si>
    <t>Alignment with program objectives is strong, as job creation falls perfectly inline with the program's targets.</t>
  </si>
  <si>
    <t>P V Tractors Spares Pvt. Ltd.</t>
  </si>
  <si>
    <t>Shruti</t>
  </si>
  <si>
    <t>Leadership is receptive to guidance and mentorship.</t>
  </si>
  <si>
    <t>Around 25 direct jobs may get created, which is in line with the program objectives.</t>
  </si>
  <si>
    <t>Team capability is told to be good, and the current factory can manage ₹28-30 Crores turnover without requiring new investment.</t>
  </si>
  <si>
    <t>22 Cr</t>
  </si>
  <si>
    <t>27 Cr</t>
  </si>
  <si>
    <t>Current factory can produce ₹28-30 Crores and no investment on machines is needed till 2028. The company is doing fine on working capital.</t>
  </si>
  <si>
    <t>Leadership appears to be invested in the expansion plan and is receptive to guidance and mentorship.</t>
  </si>
  <si>
    <t>Introduce new range of products for tractors and JCB's.</t>
  </si>
  <si>
    <t>Foreign OEMs (in talks with a German brand).</t>
  </si>
  <si>
    <t>Expand export sales globally.</t>
  </si>
  <si>
    <t>In talks with a German brand for product portfolio expansion, and sample-based exports have begun. Needs to convert these to sizeable bulk orders.</t>
  </si>
  <si>
    <t>Target is 31 Cr</t>
  </si>
  <si>
    <t>Around 25 direct jobs (10 white-collared and 15 blue-collared jobs)</t>
  </si>
  <si>
    <t>The leadership has fair idea of expansion idea.</t>
  </si>
  <si>
    <t>The venture requires support in export sales establishment and export-related business management.</t>
  </si>
  <si>
    <t>The company needs technical collaboration with foreign companies/OEMs.</t>
  </si>
  <si>
    <t>The current factory can manage ₹28-30 Crores turnover with no investment needed till 2028. The company may need a decent ERP.</t>
  </si>
  <si>
    <t>Team capability is told to be good. The current team comprises 25 office staff and 45 blue-collar workers.</t>
  </si>
  <si>
    <t>GREEN</t>
  </si>
  <si>
    <t>Doing fine on working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</si>
</sst>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1"/>
      <color theme="1"/>
      <name val="Calibri"/>
      <family val="2"/>
      <scheme val="minor"/>
    </font>
    <font>
      <b/>
      <sz val="11"/>
      <color rgb="FFFFFFFF"/>
      <name val="Calibri"/>
      <family val="2"/>
    </font>
    <font>
      <i/>
      <sz val="10"/>
      <color rgb="FF808080"/>
      <name val="Calibri"/>
      <family val="2"/>
    </font>
    <font>
      <b/>
      <sz val="14"/>
      <color rgb="FFC0392B"/>
      <name val="Calibri"/>
      <family val="2"/>
    </font>
    <font>
      <b/>
      <sz val="12"/>
      <color rgb="FF2C3E50"/>
      <name val="Calibri"/>
      <family val="2"/>
    </font>
    <font>
      <b/>
      <sz val="11"/>
      <name val="Calibri"/>
      <family val="2"/>
    </font>
    <font>
      <u/>
      <sz val="11"/>
      <color theme="10"/>
      <name val="Calibri"/>
      <family val="2"/>
      <scheme val="minor"/>
    </font>
    <font>
      <sz val="10"/>
      <color rgb="FF000000"/>
      <name val="Arial"/>
      <family val="2"/>
    </font>
    <font>
      <sz val="10"/>
      <color rgb="FF000000"/>
      <name val="Aptos Narrow"/>
      <family val="2"/>
    </font>
    <font>
      <sz val="10"/>
      <color theme="1"/>
      <name val="Calibri"/>
      <family val="2"/>
      <scheme val="minor"/>
    </font>
    <font>
      <sz val="10"/>
      <color rgb="FF303030"/>
      <name val="Google Sans Text"/>
    </font>
    <font>
      <sz val="11"/>
      <color rgb="FF000000"/>
      <name val="Aptos Narrow"/>
      <charset val="1"/>
    </font>
    <font>
      <sz val="11"/>
      <color rgb="FF000000"/>
      <name val="Aptos Narrow"/>
    </font>
    <font>
      <sz val="10"/>
      <color theme="1" tint="0.34998626667073579"/>
      <name val="Aptos Narrow"/>
      <family val="2"/>
      <scheme val="minor"/>
    </font>
    <font>
      <u/>
      <sz val="11"/>
      <color theme="10"/>
      <name val="Aptos Narrow"/>
      <family val="2"/>
      <scheme val="minor"/>
    </font>
    <font>
      <b/>
      <sz val="12"/>
      <color rgb="FF303030"/>
      <name val="Google Sans Text"/>
      <charset val="1"/>
    </font>
    <font>
      <sz val="10"/>
      <color rgb="FF000000"/>
      <name val="Aptos Narrow"/>
    </font>
    <font>
      <sz val="10"/>
      <color rgb="FF303030"/>
      <name val="Calibri"/>
      <family val="2"/>
      <scheme val="minor"/>
    </font>
    <font>
      <sz val="10"/>
      <color theme="1" tint="0.34998626667073579"/>
      <name val="Aptos Narrow"/>
    </font>
    <font>
      <i/>
      <sz val="10"/>
      <color rgb="FF808080"/>
      <name val="Calibri"/>
    </font>
    <font>
      <i/>
      <sz val="10"/>
      <color theme="1"/>
      <name val="Calibri"/>
    </font>
    <font>
      <b/>
      <sz val="11"/>
      <color rgb="FFFFFFFF"/>
      <name val="Calibri"/>
    </font>
    <font>
      <sz val="10"/>
      <color rgb="FF000000"/>
      <name val="Calibri"/>
    </font>
    <font>
      <sz val="11"/>
      <color rgb="FF111827"/>
      <name val="Ui-Sans-Serif"/>
      <charset val="1"/>
    </font>
    <font>
      <b/>
      <sz val="10"/>
      <color rgb="FF000000"/>
      <name val="Aptos Narrow"/>
    </font>
    <font>
      <sz val="11"/>
      <color rgb="FF000000"/>
      <name val="Calibri"/>
      <charset val="1"/>
    </font>
    <font>
      <sz val="9"/>
      <color rgb="FF000000"/>
      <name val="Aptos Narrow"/>
      <family val="2"/>
    </font>
    <font>
      <sz val="11"/>
      <color rgb="FF000000"/>
      <name val="Calibri"/>
    </font>
    <font>
      <sz val="11"/>
      <color rgb="FF000000"/>
      <name val="Calibri"/>
      <family val="2"/>
    </font>
    <font>
      <sz val="10"/>
      <color rgb="FF303030"/>
      <name val="Calibri"/>
      <family val="2"/>
    </font>
    <font>
      <sz val="10"/>
      <color rgb="FF000000"/>
      <name val="Calibri"/>
      <family val="2"/>
    </font>
    <font>
      <b/>
      <sz val="9"/>
      <color rgb="FF000000"/>
      <name val="Aptos Narrow"/>
      <family val="2"/>
    </font>
  </fonts>
  <fills count="17">
    <fill>
      <patternFill patternType="none"/>
    </fill>
    <fill>
      <patternFill patternType="gray125"/>
    </fill>
    <fill>
      <patternFill patternType="solid">
        <fgColor rgb="FFC0392B"/>
        <bgColor rgb="FFC0392B"/>
      </patternFill>
    </fill>
    <fill>
      <patternFill patternType="solid">
        <fgColor rgb="FF1B5E20"/>
        <bgColor rgb="FF1B5E20"/>
      </patternFill>
    </fill>
    <fill>
      <patternFill patternType="solid">
        <fgColor rgb="FFE65100"/>
        <bgColor rgb="FFE65100"/>
      </patternFill>
    </fill>
    <fill>
      <patternFill patternType="solid">
        <fgColor rgb="FFB71C1C"/>
        <bgColor rgb="FFB71C1C"/>
      </patternFill>
    </fill>
    <fill>
      <patternFill patternType="solid">
        <fgColor rgb="FF880E4F"/>
        <bgColor rgb="FF880E4F"/>
      </patternFill>
    </fill>
    <fill>
      <patternFill patternType="solid">
        <fgColor rgb="FF4A148C"/>
        <bgColor rgb="FF4A148C"/>
      </patternFill>
    </fill>
    <fill>
      <patternFill patternType="solid">
        <fgColor rgb="FF0D47A1"/>
        <bgColor rgb="FF0D47A1"/>
      </patternFill>
    </fill>
    <fill>
      <patternFill patternType="solid">
        <fgColor rgb="FF1F4E79"/>
        <bgColor rgb="FF1F4E79"/>
      </patternFill>
    </fill>
    <fill>
      <patternFill patternType="solid">
        <fgColor rgb="FF2E7D32"/>
        <bgColor rgb="FF2E7D32"/>
      </patternFill>
    </fill>
    <fill>
      <patternFill patternType="solid">
        <fgColor rgb="FF6A1B9A"/>
        <bgColor rgb="FF6A1B9A"/>
      </patternFill>
    </fill>
    <fill>
      <patternFill patternType="solid">
        <fgColor rgb="FF00838F"/>
        <bgColor rgb="FF00838F"/>
      </patternFill>
    </fill>
    <fill>
      <patternFill patternType="solid">
        <fgColor rgb="FF4E342E"/>
        <bgColor rgb="FF4E342E"/>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8">
    <border>
      <left/>
      <right/>
      <top/>
      <bottom/>
      <diagonal/>
    </border>
    <border>
      <left style="thin">
        <color rgb="FFD5D8DC"/>
      </left>
      <right style="thin">
        <color rgb="FFD5D8DC"/>
      </right>
      <top style="thin">
        <color rgb="FFD5D8DC"/>
      </top>
      <bottom style="thin">
        <color rgb="FFD5D8DC"/>
      </bottom>
      <diagonal/>
    </border>
    <border>
      <left style="thin">
        <color rgb="FFD5D8DC"/>
      </left>
      <right style="thin">
        <color rgb="FFD5D8DC"/>
      </right>
      <top/>
      <bottom/>
      <diagonal/>
    </border>
    <border>
      <left style="thin">
        <color rgb="FF000000"/>
      </left>
      <right style="thin">
        <color rgb="FF000000"/>
      </right>
      <top style="thin">
        <color rgb="FF000000"/>
      </top>
      <bottom style="thin">
        <color rgb="FF000000"/>
      </bottom>
      <diagonal/>
    </border>
    <border>
      <left style="thin">
        <color rgb="FFD5D8DC"/>
      </left>
      <right style="thin">
        <color rgb="FFD5D8DC"/>
      </right>
      <top style="thin">
        <color rgb="FFD5D8DC"/>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94">
    <xf numFmtId="0" fontId="0" fillId="0" borderId="0" xfId="0"/>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0" fillId="0" borderId="3" xfId="0" applyBorder="1" applyAlignment="1">
      <alignment horizontal="left" vertical="top"/>
    </xf>
    <xf numFmtId="0" fontId="7" fillId="0" borderId="3" xfId="0" applyFont="1" applyBorder="1" applyAlignment="1">
      <alignment horizontal="left" vertical="top" wrapText="1" readingOrder="1"/>
    </xf>
    <xf numFmtId="0" fontId="0" fillId="0" borderId="3" xfId="0" applyBorder="1" applyAlignment="1">
      <alignment horizontal="left" vertical="top" wrapText="1"/>
    </xf>
    <xf numFmtId="0" fontId="1" fillId="2" borderId="4" xfId="0" applyFont="1" applyFill="1" applyBorder="1" applyAlignment="1">
      <alignment horizontal="left" vertical="top" wrapText="1"/>
    </xf>
    <xf numFmtId="0" fontId="0" fillId="0" borderId="0" xfId="0" applyAlignment="1">
      <alignment horizontal="left" vertical="top"/>
    </xf>
    <xf numFmtId="0" fontId="0" fillId="0" borderId="3" xfId="0" applyBorder="1" applyAlignment="1">
      <alignment horizontal="left" wrapText="1"/>
    </xf>
    <xf numFmtId="49" fontId="0" fillId="0" borderId="3" xfId="0" applyNumberFormat="1" applyBorder="1" applyAlignment="1">
      <alignment horizontal="left" vertical="top" wrapText="1"/>
    </xf>
    <xf numFmtId="0" fontId="13" fillId="0" borderId="3" xfId="0" applyFont="1" applyBorder="1" applyAlignment="1">
      <alignment horizontal="left" vertical="top" wrapText="1"/>
    </xf>
    <xf numFmtId="0" fontId="14" fillId="0" borderId="3" xfId="1" applyFont="1" applyFill="1" applyBorder="1" applyAlignment="1">
      <alignment horizontal="left" vertical="top" wrapText="1"/>
    </xf>
    <xf numFmtId="0" fontId="10" fillId="0" borderId="0" xfId="0" applyFont="1" applyAlignment="1">
      <alignment horizontal="left" vertical="top"/>
    </xf>
    <xf numFmtId="17" fontId="16" fillId="0" borderId="0" xfId="0" applyNumberFormat="1" applyFont="1" applyAlignment="1">
      <alignment horizontal="left"/>
    </xf>
    <xf numFmtId="17" fontId="16" fillId="0" borderId="3" xfId="0" applyNumberFormat="1" applyFont="1" applyBorder="1" applyAlignment="1">
      <alignment horizontal="left" wrapText="1"/>
    </xf>
    <xf numFmtId="0" fontId="18" fillId="0" borderId="3" xfId="0" applyFont="1" applyBorder="1" applyAlignment="1">
      <alignment horizontal="left" vertical="top" wrapText="1"/>
    </xf>
    <xf numFmtId="0" fontId="2" fillId="0" borderId="1" xfId="0" applyFont="1" applyBorder="1" applyAlignment="1">
      <alignment horizontal="left" vertical="top" wrapText="1"/>
    </xf>
    <xf numFmtId="14" fontId="9" fillId="14" borderId="3"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7" fillId="15" borderId="3" xfId="0" applyFont="1" applyFill="1" applyBorder="1" applyAlignment="1">
      <alignment horizontal="left" vertical="top" wrapText="1"/>
    </xf>
    <xf numFmtId="0" fontId="9" fillId="14" borderId="3" xfId="0" applyFont="1" applyFill="1" applyBorder="1" applyAlignment="1">
      <alignment horizontal="left" vertical="top" wrapText="1"/>
    </xf>
    <xf numFmtId="0" fontId="9" fillId="0" borderId="3" xfId="0" applyFont="1" applyBorder="1" applyAlignment="1">
      <alignment horizontal="left" vertical="top"/>
    </xf>
    <xf numFmtId="0" fontId="1" fillId="3" borderId="4"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6" borderId="4"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8" borderId="4" xfId="0" applyFont="1" applyFill="1" applyBorder="1" applyAlignment="1">
      <alignment horizontal="left" vertical="top" wrapText="1"/>
    </xf>
    <xf numFmtId="0" fontId="9" fillId="16" borderId="3" xfId="0" applyFont="1" applyFill="1" applyBorder="1" applyAlignment="1">
      <alignment horizontal="left" vertical="top" wrapText="1"/>
    </xf>
    <xf numFmtId="17" fontId="16" fillId="0" borderId="3" xfId="0" applyNumberFormat="1" applyFont="1" applyBorder="1" applyAlignment="1">
      <alignment horizontal="left" vertical="top"/>
    </xf>
    <xf numFmtId="0" fontId="0" fillId="14" borderId="3" xfId="0" applyFill="1" applyBorder="1" applyAlignment="1">
      <alignment horizontal="left" vertical="top"/>
    </xf>
    <xf numFmtId="0" fontId="6" fillId="0" borderId="3" xfId="1" applyBorder="1" applyAlignment="1">
      <alignment horizontal="left" vertical="top" wrapText="1"/>
    </xf>
    <xf numFmtId="14" fontId="0" fillId="0" borderId="3" xfId="0" applyNumberFormat="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6" fillId="15" borderId="3" xfId="0" applyFont="1" applyFill="1" applyBorder="1" applyAlignment="1">
      <alignment horizontal="left" vertical="top"/>
    </xf>
    <xf numFmtId="0" fontId="23" fillId="0" borderId="3" xfId="0" applyFont="1" applyBorder="1" applyAlignment="1">
      <alignment horizontal="left" vertical="top"/>
    </xf>
    <xf numFmtId="0" fontId="17" fillId="14" borderId="3" xfId="0" applyFont="1" applyFill="1" applyBorder="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xf>
    <xf numFmtId="0" fontId="6" fillId="0" borderId="3" xfId="1" applyFill="1" applyBorder="1" applyAlignment="1">
      <alignment horizontal="left" vertical="top" wrapText="1"/>
    </xf>
    <xf numFmtId="0" fontId="0" fillId="0" borderId="5" xfId="0" applyBorder="1" applyAlignment="1">
      <alignment horizontal="left" vertical="top" wrapText="1"/>
    </xf>
    <xf numFmtId="0" fontId="9" fillId="0" borderId="3" xfId="0" applyFont="1" applyBorder="1" applyAlignment="1">
      <alignment horizontal="left" vertical="top" wrapText="1"/>
    </xf>
    <xf numFmtId="0" fontId="0" fillId="0" borderId="6" xfId="0" applyBorder="1" applyAlignment="1">
      <alignment horizontal="left" vertical="top" wrapText="1"/>
    </xf>
    <xf numFmtId="0" fontId="11" fillId="0" borderId="3" xfId="0" applyFont="1" applyBorder="1" applyAlignment="1">
      <alignment horizontal="left" vertical="top" wrapText="1"/>
    </xf>
    <xf numFmtId="0" fontId="12" fillId="0" borderId="5" xfId="0" applyFont="1" applyBorder="1" applyAlignment="1">
      <alignment horizontal="left" vertical="top" wrapText="1"/>
    </xf>
    <xf numFmtId="17" fontId="8" fillId="0" borderId="3" xfId="0" applyNumberFormat="1" applyFont="1" applyBorder="1" applyAlignment="1">
      <alignment horizontal="left" vertical="top" wrapText="1"/>
    </xf>
    <xf numFmtId="17" fontId="16" fillId="0" borderId="3" xfId="0" applyNumberFormat="1" applyFont="1" applyBorder="1" applyAlignment="1">
      <alignment horizontal="left" vertical="top" wrapText="1"/>
    </xf>
    <xf numFmtId="0" fontId="15" fillId="0" borderId="0" xfId="0" applyFont="1" applyAlignment="1">
      <alignment horizontal="left" vertical="top" wrapText="1"/>
    </xf>
    <xf numFmtId="0" fontId="25" fillId="0" borderId="0" xfId="0" applyFont="1" applyAlignment="1">
      <alignment horizontal="left" vertical="top" wrapText="1"/>
    </xf>
    <xf numFmtId="0" fontId="16" fillId="0" borderId="3" xfId="0" applyFont="1" applyBorder="1" applyAlignment="1">
      <alignment horizontal="left" vertical="top" wrapText="1"/>
    </xf>
    <xf numFmtId="0" fontId="27" fillId="0" borderId="6" xfId="0" applyFont="1" applyBorder="1" applyAlignment="1">
      <alignment horizontal="left" vertical="top" wrapText="1"/>
    </xf>
    <xf numFmtId="0" fontId="6" fillId="0" borderId="6" xfId="1" applyBorder="1" applyAlignment="1">
      <alignment horizontal="left" vertical="top" wrapText="1"/>
    </xf>
    <xf numFmtId="0" fontId="27" fillId="0" borderId="7" xfId="0" applyFont="1" applyBorder="1" applyAlignment="1">
      <alignment horizontal="left" vertical="top" wrapText="1"/>
    </xf>
    <xf numFmtId="0" fontId="22" fillId="0" borderId="3" xfId="0" applyFont="1" applyBorder="1" applyAlignment="1">
      <alignment horizontal="left" vertical="top" wrapText="1"/>
    </xf>
    <xf numFmtId="0" fontId="6" fillId="0" borderId="0" xfId="1" applyAlignment="1">
      <alignment horizontal="left" vertical="top"/>
    </xf>
    <xf numFmtId="0" fontId="28" fillId="0" borderId="3" xfId="0" applyFont="1" applyBorder="1" applyAlignment="1">
      <alignment wrapText="1"/>
    </xf>
    <xf numFmtId="0" fontId="28" fillId="0" borderId="6" xfId="0" applyFont="1" applyBorder="1" applyAlignment="1">
      <alignment wrapText="1"/>
    </xf>
    <xf numFmtId="0" fontId="6" fillId="0" borderId="6" xfId="1" applyFill="1" applyBorder="1" applyAlignment="1">
      <alignment wrapText="1"/>
    </xf>
    <xf numFmtId="0" fontId="16" fillId="15" borderId="6" xfId="0" applyFont="1" applyFill="1" applyBorder="1"/>
    <xf numFmtId="0" fontId="23" fillId="0" borderId="6" xfId="0" applyFont="1" applyBorder="1"/>
    <xf numFmtId="0" fontId="29" fillId="15" borderId="3" xfId="0" applyFont="1" applyFill="1" applyBorder="1" applyAlignment="1">
      <alignment wrapText="1"/>
    </xf>
    <xf numFmtId="0" fontId="29" fillId="15" borderId="6" xfId="0" applyFont="1" applyFill="1" applyBorder="1" applyAlignment="1">
      <alignment wrapText="1"/>
    </xf>
    <xf numFmtId="0" fontId="30" fillId="15" borderId="6" xfId="0" applyFont="1" applyFill="1" applyBorder="1" applyAlignment="1">
      <alignment wrapText="1"/>
    </xf>
    <xf numFmtId="14" fontId="30" fillId="15" borderId="6" xfId="0" applyNumberFormat="1" applyFont="1" applyFill="1" applyBorder="1" applyAlignment="1">
      <alignment wrapText="1"/>
    </xf>
    <xf numFmtId="0" fontId="30" fillId="0" borderId="6" xfId="0" applyFont="1" applyBorder="1"/>
    <xf numFmtId="0" fontId="31" fillId="0" borderId="3" xfId="0" applyFont="1" applyBorder="1" applyAlignment="1">
      <alignment horizontal="left" vertical="top"/>
    </xf>
    <xf numFmtId="0" fontId="19" fillId="0" borderId="1" xfId="0" applyFont="1" applyBorder="1" applyAlignment="1">
      <alignment horizontal="left" vertical="top" wrapText="1"/>
    </xf>
    <xf numFmtId="164" fontId="20" fillId="0" borderId="1" xfId="0" applyNumberFormat="1" applyFont="1" applyBorder="1" applyAlignment="1">
      <alignment horizontal="left" vertical="top" wrapText="1"/>
    </xf>
    <xf numFmtId="164" fontId="19" fillId="0" borderId="0" xfId="0" applyNumberFormat="1" applyFont="1" applyAlignment="1">
      <alignment horizontal="left" vertical="top" wrapText="1"/>
    </xf>
    <xf numFmtId="164" fontId="2" fillId="0" borderId="1" xfId="0" applyNumberFormat="1" applyFont="1" applyBorder="1" applyAlignment="1">
      <alignment horizontal="left" vertical="top" wrapText="1"/>
    </xf>
    <xf numFmtId="164" fontId="2" fillId="0" borderId="0" xfId="0" applyNumberFormat="1" applyFont="1" applyAlignment="1">
      <alignment horizontal="left" vertical="top" wrapText="1"/>
    </xf>
    <xf numFmtId="164" fontId="22" fillId="0" borderId="0" xfId="0" applyNumberFormat="1" applyFont="1" applyAlignment="1">
      <alignment horizontal="left" vertical="top" wrapText="1"/>
    </xf>
    <xf numFmtId="0" fontId="26" fillId="0" borderId="3" xfId="0" applyFont="1" applyBorder="1" applyAlignment="1">
      <alignment horizontal="left" vertical="top"/>
    </xf>
    <xf numFmtId="0" fontId="31" fillId="0" borderId="3" xfId="0" applyFont="1" applyBorder="1" applyAlignment="1">
      <alignment horizontal="left" vertical="top" wrapText="1"/>
    </xf>
    <xf numFmtId="0" fontId="1" fillId="9" borderId="1" xfId="0" applyFont="1" applyFill="1" applyBorder="1" applyAlignment="1">
      <alignment horizontal="left" vertical="top" wrapText="1"/>
    </xf>
    <xf numFmtId="0" fontId="21" fillId="9"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21" fillId="13" borderId="1" xfId="0" applyFont="1" applyFill="1" applyBorder="1" applyAlignment="1">
      <alignment horizontal="left" vertical="top" wrapText="1"/>
    </xf>
    <xf numFmtId="0" fontId="1" fillId="13" borderId="2" xfId="0" applyFont="1" applyFill="1" applyBorder="1" applyAlignment="1">
      <alignment horizontal="left" vertical="top" wrapText="1"/>
    </xf>
    <xf numFmtId="17" fontId="8" fillId="0" borderId="0" xfId="0" applyNumberFormat="1" applyFont="1" applyAlignment="1">
      <alignment horizontal="left" vertical="top"/>
    </xf>
    <xf numFmtId="0" fontId="9" fillId="0" borderId="0" xfId="0" applyFont="1" applyAlignment="1">
      <alignment horizontal="left" vertical="top"/>
    </xf>
    <xf numFmtId="1" fontId="9" fillId="0" borderId="0" xfId="0" applyNumberFormat="1" applyFont="1" applyAlignment="1">
      <alignment horizontal="left" vertical="top"/>
    </xf>
    <xf numFmtId="0" fontId="9" fillId="0" borderId="0" xfId="0" applyFont="1" applyAlignment="1">
      <alignment horizontal="left" vertical="top" wrapText="1"/>
    </xf>
    <xf numFmtId="17" fontId="16" fillId="0" borderId="0" xfId="0" applyNumberFormat="1" applyFont="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kedar_pandya_wadhwanifoundation_org/Documents/Accelerate_2025_Hub%20Model/Accelerate_Portfolio%20Dashboard_Latest.xlsx" TargetMode="External"/><Relationship Id="rId2" Type="http://schemas.openxmlformats.org/officeDocument/2006/relationships/externalLinkPath" Target="https://wadhwanifoundation-my.sharepoint.com/personal/kedar_pandya_wadhwanifoundation_org/Documents/Accelerate_2025_Hub%20Model/Accelerate_Portfolio%20Dashboard_Latest.xlsx" TargetMode="External"/><Relationship Id="rId1" Type="http://schemas.openxmlformats.org/officeDocument/2006/relationships/externalLinkPath" Target="/personal/kedar_pandya_wadhwanifoundation_org/Documents/Accelerate_2025_Hub%20Model/Accelerate_Portfolio%20Dashboard_Late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adhwanifoundation.sharepoint.com/sites/WadhwaniAccelerate/Shared%20Documents/ACCELERATE%202025/Analytics%20-%20Job%20and%20Revenue_Accelerate/Analytics%20-%20SUP%20and%20SMB.xlsx" TargetMode="External"/><Relationship Id="rId1" Type="http://schemas.openxmlformats.org/officeDocument/2006/relationships/externalLinkPath" Target="https://wadhwanifoundation.sharepoint.com/sites/WadhwaniAccelerate/Shared%20Documents/ACCELERATE%202025/Analytics%20-%20Job%20and%20Revenue_Accelerate/Analytics%20-%20SUP%20and%20SM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0UzCVJXUJEqYWgUsYiF7Ja91wu6nV09AhTi8P4RNaGKpKtBQKXamR5Wb7tSMsP_a" itemId="01NC57JFPTYMERYHYF4NH2ROA5XTEHUOTP">
      <xxl21:absoluteUrl r:id="rId2"/>
      <xxl21:relativeUrl r:id="rId3"/>
    </xxl21:alternateUrls>
    <sheetNames>
      <sheetName val="Portfolio Dashboard"/>
      <sheetName val="Amsol"/>
      <sheetName val="Kadillac Chemicals"/>
      <sheetName val="Reckon"/>
      <sheetName val="GDW"/>
      <sheetName val="ARGE"/>
      <sheetName val="Plan Checklist"/>
      <sheetName val="Growth Rate"/>
      <sheetName val="Category Cal"/>
      <sheetName val="Guj Portfolio Details"/>
      <sheetName val="Pivot"/>
      <sheetName val="Temp"/>
      <sheetName val="Jagat1 cohort"/>
      <sheetName val="B2B 1 Cohort"/>
    </sheetNames>
    <sheetDataSet>
      <sheetData sheetId="0">
        <row r="1">
          <cell r="B1" t="str">
            <v>Accelerate Portfolio Dashboard</v>
          </cell>
          <cell r="E1"/>
        </row>
        <row r="2">
          <cell r="B2"/>
          <cell r="E2"/>
        </row>
        <row r="3">
          <cell r="B3" t="str">
            <v>Beneficiery</v>
          </cell>
          <cell r="E3" t="str">
            <v>Existing Product</v>
          </cell>
        </row>
        <row r="4">
          <cell r="B4" t="str">
            <v>Aatomize</v>
          </cell>
          <cell r="E4"/>
        </row>
        <row r="5">
          <cell r="B5" t="str">
            <v>Agriown Farmtech</v>
          </cell>
          <cell r="E5"/>
        </row>
        <row r="6">
          <cell r="B6" t="str">
            <v>Airmeds</v>
          </cell>
          <cell r="E6"/>
        </row>
        <row r="7">
          <cell r="B7" t="str">
            <v>Alpino</v>
          </cell>
          <cell r="E7"/>
        </row>
        <row r="8">
          <cell r="B8" t="str">
            <v>Reckon Diagnostic</v>
          </cell>
          <cell r="E8" t="str">
            <v>RTD (Rapid Test Devices), Serology tests, IFA (Immunofluorescence), Clinical Chemistry Reagents, and Instrumentation.</v>
          </cell>
        </row>
        <row r="9">
          <cell r="B9" t="str">
            <v>Amsol Industries Private Limited</v>
          </cell>
          <cell r="E9" t="str">
            <v>Automotive and industrial components</v>
          </cell>
        </row>
        <row r="10">
          <cell r="B10" t="str">
            <v>CleanX Agro</v>
          </cell>
          <cell r="E10" t="str">
            <v>&gt;&gt; Agro Processing Machinery
&gt;&gt; Dal Miling machine
&gt;&gt; Sorting and grading systems</v>
          </cell>
        </row>
        <row r="11">
          <cell r="B11" t="str">
            <v>Zeus Engitech Private Limited</v>
          </cell>
          <cell r="E11" t="str">
            <v>Conveyor systems (belt, screw, and stacker conveyors)</v>
          </cell>
        </row>
        <row r="12">
          <cell r="B12" t="str">
            <v>MECHAIR INDUSTRIES</v>
          </cell>
          <cell r="E12" t="str">
            <v>Multi-Commodity, Multi-Temperature Controlled Warehousing Services on a rental basis</v>
          </cell>
        </row>
        <row r="13">
          <cell r="B13" t="str">
            <v>Shubham Aquavitro</v>
          </cell>
          <cell r="E13" t="str">
            <v>Sewage Treatment Plants (STPs), 
Effluent Treatment Plants (ETPs)</v>
          </cell>
        </row>
        <row r="14">
          <cell r="B14" t="str">
            <v>Powerpace Energy</v>
          </cell>
          <cell r="E14" t="str">
            <v xml:space="preserve">custom lithium-ion battery packs (both NMC and LFP) </v>
          </cell>
        </row>
        <row r="15">
          <cell r="B15" t="str">
            <v>Precision Sintered Products</v>
          </cell>
          <cell r="E15" t="str">
            <v>Sintered Bronze Bushes, Power Steering Parts, Powder Metal Structural Parts, Oil pump gears and rotors</v>
          </cell>
        </row>
        <row r="16">
          <cell r="B16"/>
          <cell r="E16"/>
        </row>
        <row r="17">
          <cell r="B17"/>
          <cell r="E17"/>
        </row>
        <row r="18">
          <cell r="B18" t="str">
            <v>Atkotiya Engineering Works Pvt. Ltd.</v>
          </cell>
          <cell r="E18"/>
        </row>
        <row r="19">
          <cell r="B19" t="str">
            <v>Bebe Burp</v>
          </cell>
          <cell r="E19"/>
        </row>
        <row r="20">
          <cell r="B20" t="str">
            <v>Biofics</v>
          </cell>
          <cell r="E20"/>
        </row>
        <row r="21">
          <cell r="B21" t="str">
            <v>Biziverse</v>
          </cell>
          <cell r="E21"/>
        </row>
        <row r="22">
          <cell r="B22" t="str">
            <v>Bonus Plastics</v>
          </cell>
          <cell r="E22"/>
        </row>
        <row r="23">
          <cell r="B23" t="str">
            <v>Bull Agritech</v>
          </cell>
          <cell r="E23"/>
        </row>
        <row r="24">
          <cell r="B24" t="str">
            <v>Cosmo Ecosystem Care</v>
          </cell>
          <cell r="E24"/>
        </row>
        <row r="25">
          <cell r="B25" t="str">
            <v>Culture x</v>
          </cell>
          <cell r="E25"/>
        </row>
        <row r="26">
          <cell r="B26" t="str">
            <v>Dutt AdTech Pvt Ltd.</v>
          </cell>
          <cell r="E26"/>
        </row>
        <row r="27">
          <cell r="B27" t="str">
            <v>Elite Decor</v>
          </cell>
          <cell r="E27"/>
        </row>
        <row r="28">
          <cell r="B28" t="str">
            <v xml:space="preserve">Enercomp </v>
          </cell>
          <cell r="E28"/>
        </row>
        <row r="29">
          <cell r="B29" t="str">
            <v>eSwasthya</v>
          </cell>
          <cell r="E29"/>
        </row>
        <row r="30">
          <cell r="B30" t="str">
            <v>EV India</v>
          </cell>
          <cell r="E30"/>
        </row>
        <row r="31">
          <cell r="B31" t="str">
            <v>Evify</v>
          </cell>
          <cell r="E31"/>
        </row>
        <row r="32">
          <cell r="B32" t="str">
            <v>Evocative Industries</v>
          </cell>
          <cell r="E32"/>
        </row>
        <row r="33">
          <cell r="B33" t="str">
            <v>Eximburg International</v>
          </cell>
          <cell r="E33"/>
        </row>
        <row r="34">
          <cell r="B34" t="str">
            <v>Exposit Immersive Solution Pvt Ltd</v>
          </cell>
          <cell r="E34"/>
        </row>
        <row r="35">
          <cell r="B35" t="str">
            <v>Frebi Technology</v>
          </cell>
          <cell r="E35"/>
        </row>
        <row r="36">
          <cell r="B36" t="str">
            <v>Galaxy Chains</v>
          </cell>
          <cell r="E36"/>
        </row>
        <row r="37">
          <cell r="B37" t="str">
            <v>Kadillac Chemicals</v>
          </cell>
          <cell r="E37" t="str">
            <v>Commodity benzyl intermediates</v>
          </cell>
        </row>
        <row r="38">
          <cell r="B38" t="str">
            <v>Gearlinc Systems</v>
          </cell>
          <cell r="E38"/>
        </row>
        <row r="39">
          <cell r="B39" t="str">
            <v>HoneyVeda</v>
          </cell>
          <cell r="E39"/>
        </row>
        <row r="40">
          <cell r="B40" t="str">
            <v>GD Waldner</v>
          </cell>
          <cell r="E40" t="str">
            <v>Lab furniture and chemical fume hoods; Turnkey Design and Build services.</v>
          </cell>
        </row>
        <row r="41">
          <cell r="B41" t="str">
            <v>Indiesemic</v>
          </cell>
          <cell r="E41"/>
        </row>
        <row r="42">
          <cell r="B42" t="str">
            <v>Saj Test</v>
          </cell>
          <cell r="E42"/>
        </row>
        <row r="43">
          <cell r="B43" t="str">
            <v>Dezire Fabtech LLP</v>
          </cell>
          <cell r="E43"/>
        </row>
        <row r="44">
          <cell r="B44" t="str">
            <v>Recla int.pvt ltd</v>
          </cell>
          <cell r="E44"/>
        </row>
        <row r="45">
          <cell r="B45" t="str">
            <v>Organics Sattva</v>
          </cell>
          <cell r="E45"/>
        </row>
        <row r="46">
          <cell r="B46" t="str">
            <v>Rawmart</v>
          </cell>
          <cell r="E46"/>
        </row>
        <row r="47">
          <cell r="B47" t="str">
            <v>Rio Innobev</v>
          </cell>
          <cell r="E47"/>
        </row>
        <row r="48">
          <cell r="B48" t="str">
            <v>Navy Blue Energy</v>
          </cell>
          <cell r="E48"/>
        </row>
        <row r="49">
          <cell r="B49" t="str">
            <v>Agni Solar Systems</v>
          </cell>
          <cell r="E49"/>
        </row>
        <row r="50">
          <cell r="B50" t="str">
            <v>Jagadamba Engineers</v>
          </cell>
          <cell r="E50"/>
        </row>
        <row r="51">
          <cell r="B51" t="str">
            <v>Rahul Engineering</v>
          </cell>
          <cell r="E51"/>
        </row>
        <row r="52">
          <cell r="B52" t="str">
            <v>Elysium Group of Companies</v>
          </cell>
          <cell r="E52"/>
        </row>
        <row r="53">
          <cell r="B53" t="str">
            <v>Ramprasad Tubes</v>
          </cell>
          <cell r="E53"/>
        </row>
        <row r="54">
          <cell r="B54" t="str">
            <v>Southern Alloy</v>
          </cell>
          <cell r="E54"/>
        </row>
        <row r="55">
          <cell r="B55" t="str">
            <v>Precision Equipments</v>
          </cell>
          <cell r="E55"/>
        </row>
        <row r="56">
          <cell r="B56" t="str">
            <v>Windplus Pvt Ltd</v>
          </cell>
          <cell r="E56"/>
        </row>
        <row r="57">
          <cell r="B57" t="str">
            <v>Crowntech Surface Finishings Pvt Ltd</v>
          </cell>
          <cell r="E57"/>
        </row>
        <row r="58">
          <cell r="B58" t="str">
            <v>Padmavahini Transformers</v>
          </cell>
          <cell r="E58"/>
        </row>
        <row r="59">
          <cell r="B59" t="str">
            <v>Airwill Home Collections</v>
          </cell>
          <cell r="E59"/>
        </row>
        <row r="60">
          <cell r="B60" t="str">
            <v>Magnetic &amp; Control Pvt Ltd</v>
          </cell>
          <cell r="E60"/>
        </row>
        <row r="61">
          <cell r="B61" t="str">
            <v>GoWelMart</v>
          </cell>
          <cell r="E61"/>
        </row>
        <row r="62">
          <cell r="B62" t="str">
            <v>Air Master Flowtec Pvt Ltd</v>
          </cell>
          <cell r="E62"/>
        </row>
        <row r="63">
          <cell r="B63" t="str">
            <v>ADS Associates &amp; Group of Company</v>
          </cell>
          <cell r="E63"/>
        </row>
        <row r="64">
          <cell r="B64" t="str">
            <v>Unicon Group of Companies</v>
          </cell>
          <cell r="E64"/>
        </row>
        <row r="65">
          <cell r="B65" t="str">
            <v>INNOVITA INDUSTRIES PVT LTD</v>
          </cell>
          <cell r="E65"/>
        </row>
        <row r="66">
          <cell r="B66" t="str">
            <v>InSyPay</v>
          </cell>
          <cell r="E66"/>
        </row>
        <row r="67">
          <cell r="B67" t="str">
            <v>Jajal</v>
          </cell>
          <cell r="E67"/>
        </row>
        <row r="68">
          <cell r="B68" t="str">
            <v>Jay Balaji Industries</v>
          </cell>
          <cell r="E68"/>
        </row>
        <row r="69">
          <cell r="B69" t="str">
            <v xml:space="preserve">Jimit Medico Surgicals </v>
          </cell>
          <cell r="E69"/>
        </row>
        <row r="70">
          <cell r="B70" t="str">
            <v>K and K Inc</v>
          </cell>
          <cell r="E70"/>
        </row>
        <row r="71">
          <cell r="B71" t="str">
            <v>ARGE(ABSOLUTE RG EQUIPMENT PVT LTD)</v>
          </cell>
          <cell r="E71" t="str">
            <v>Commercial Kitchen Equipments, Turnkey Projects and AMC</v>
          </cell>
        </row>
        <row r="72">
          <cell r="B72" t="str">
            <v>Keepsake Automation Pvt Ltd</v>
          </cell>
          <cell r="E72"/>
        </row>
        <row r="73">
          <cell r="B73" t="str">
            <v>Klintek Engineers</v>
          </cell>
          <cell r="E73"/>
        </row>
        <row r="74">
          <cell r="B74" t="str">
            <v>Mealpe</v>
          </cell>
          <cell r="E74"/>
        </row>
        <row r="75">
          <cell r="B75" t="str">
            <v>Meta BioWare LLP</v>
          </cell>
          <cell r="E75"/>
        </row>
        <row r="76">
          <cell r="B76" t="str">
            <v>Suman Exports</v>
          </cell>
          <cell r="E76" t="str">
            <v>Seed spices (cumin, fennel, mustard, coriander)</v>
          </cell>
        </row>
        <row r="77">
          <cell r="B77" t="str">
            <v>Eventbeep</v>
          </cell>
          <cell r="E77"/>
        </row>
        <row r="78">
          <cell r="B78" t="str">
            <v>QpiAI</v>
          </cell>
          <cell r="E78"/>
        </row>
        <row r="79">
          <cell r="B79" t="str">
            <v>Urdhvam</v>
          </cell>
          <cell r="E79"/>
        </row>
        <row r="80">
          <cell r="B80" t="str">
            <v>amPICQ</v>
          </cell>
          <cell r="E80"/>
        </row>
        <row r="81">
          <cell r="B81" t="str">
            <v>Fortytwo Labs</v>
          </cell>
          <cell r="E81"/>
        </row>
        <row r="82">
          <cell r="B82" t="str">
            <v>Jeevtronics</v>
          </cell>
          <cell r="E82"/>
        </row>
        <row r="83">
          <cell r="B83" t="str">
            <v>Stem Tech</v>
          </cell>
          <cell r="E83"/>
        </row>
        <row r="84">
          <cell r="B84" t="str">
            <v xml:space="preserve">Volar Alta </v>
          </cell>
          <cell r="E84"/>
        </row>
        <row r="85">
          <cell r="B85" t="str">
            <v xml:space="preserve">FTB Organic (Dhombe Patil Foods) </v>
          </cell>
          <cell r="E85"/>
        </row>
        <row r="86">
          <cell r="B86" t="str">
            <v>Vaultastic</v>
          </cell>
          <cell r="E86"/>
        </row>
        <row r="87">
          <cell r="B87" t="str">
            <v>Purandar Highlands</v>
          </cell>
          <cell r="E87"/>
        </row>
        <row r="88">
          <cell r="B88" t="str">
            <v>Car Dhobi</v>
          </cell>
          <cell r="E88"/>
        </row>
        <row r="89">
          <cell r="B89" t="str">
            <v>Flexyfi Me</v>
          </cell>
          <cell r="E89"/>
        </row>
        <row r="90">
          <cell r="B90" t="str">
            <v>Tailor Smart</v>
          </cell>
          <cell r="E90"/>
        </row>
        <row r="91">
          <cell r="B91" t="str">
            <v>Care Mother</v>
          </cell>
          <cell r="E91"/>
        </row>
        <row r="92">
          <cell r="B92" t="str">
            <v>Frontierz</v>
          </cell>
          <cell r="E92"/>
        </row>
        <row r="93">
          <cell r="B93" t="str">
            <v>Gyrodrive</v>
          </cell>
          <cell r="E93"/>
        </row>
        <row r="94">
          <cell r="B94" t="str">
            <v>Rises.io</v>
          </cell>
          <cell r="E94"/>
        </row>
        <row r="95">
          <cell r="B95" t="str">
            <v>Indian Drivers</v>
          </cell>
          <cell r="E95"/>
        </row>
        <row r="96">
          <cell r="B96" t="str">
            <v>Swipe Loans</v>
          </cell>
          <cell r="E96"/>
        </row>
        <row r="97">
          <cell r="B97" t="str">
            <v>Dingg</v>
          </cell>
          <cell r="E97"/>
        </row>
        <row r="98">
          <cell r="B98" t="str">
            <v>Foodnest</v>
          </cell>
          <cell r="E98"/>
        </row>
        <row r="99">
          <cell r="B99" t="str">
            <v>QNU Labs</v>
          </cell>
          <cell r="E99"/>
        </row>
        <row r="100">
          <cell r="B100" t="str">
            <v>Atreya Innovations</v>
          </cell>
          <cell r="E100"/>
        </row>
        <row r="101">
          <cell r="B101" t="str">
            <v>Terrablu</v>
          </cell>
          <cell r="E101"/>
        </row>
        <row r="102">
          <cell r="B102" t="str">
            <v>Clean Electric</v>
          </cell>
          <cell r="E102"/>
        </row>
        <row r="103">
          <cell r="B103" t="str">
            <v>Ved Sanjeevni</v>
          </cell>
          <cell r="E103"/>
        </row>
        <row r="104">
          <cell r="B104" t="str">
            <v>Leap Info</v>
          </cell>
          <cell r="E104"/>
        </row>
        <row r="105">
          <cell r="B105" t="str">
            <v>Ayu Devices Pvt Ltd</v>
          </cell>
          <cell r="E105"/>
        </row>
        <row r="106">
          <cell r="B106" t="str">
            <v>Padcare Labs</v>
          </cell>
          <cell r="E106"/>
        </row>
        <row r="107">
          <cell r="B107" t="str">
            <v xml:space="preserve">Hreedan Lifestyle </v>
          </cell>
          <cell r="E107"/>
        </row>
        <row r="108">
          <cell r="B108" t="str">
            <v xml:space="preserve">Jivika Healthcare </v>
          </cell>
          <cell r="E108"/>
        </row>
        <row r="109">
          <cell r="B109" t="str">
            <v>Millets Now</v>
          </cell>
          <cell r="E109"/>
        </row>
        <row r="110">
          <cell r="B110" t="str">
            <v>Inspacco</v>
          </cell>
          <cell r="E110"/>
        </row>
        <row r="111">
          <cell r="B111" t="str">
            <v>School Dairy</v>
          </cell>
          <cell r="E111"/>
        </row>
        <row r="112">
          <cell r="B112" t="str">
            <v>Bipolar factory</v>
          </cell>
          <cell r="E112"/>
        </row>
        <row r="113">
          <cell r="B113" t="str">
            <v>Startoon Labs</v>
          </cell>
          <cell r="E113"/>
        </row>
        <row r="114">
          <cell r="B114" t="str">
            <v>Raptee Energy Pvt Ltd</v>
          </cell>
          <cell r="E114"/>
        </row>
        <row r="115">
          <cell r="B115" t="str">
            <v>Uravu Labs</v>
          </cell>
          <cell r="E115"/>
        </row>
        <row r="116">
          <cell r="B116" t="str">
            <v>JidokaTechnologies</v>
          </cell>
          <cell r="E116"/>
        </row>
        <row r="117">
          <cell r="B117" t="str">
            <v>Mangopoint</v>
          </cell>
          <cell r="E117"/>
        </row>
        <row r="118">
          <cell r="B118" t="str">
            <v>Linkmiles</v>
          </cell>
          <cell r="E118"/>
        </row>
        <row r="119">
          <cell r="B119" t="str">
            <v>Cultyvate</v>
          </cell>
          <cell r="E119"/>
        </row>
        <row r="120">
          <cell r="B120" t="str">
            <v>Muse Wearables</v>
          </cell>
          <cell r="E120"/>
        </row>
        <row r="121">
          <cell r="B121" t="str">
            <v>Mr. Meds</v>
          </cell>
          <cell r="E121"/>
        </row>
        <row r="122">
          <cell r="B122" t="str">
            <v>JustAct</v>
          </cell>
          <cell r="E122"/>
        </row>
        <row r="123">
          <cell r="B123" t="str">
            <v>Autocracy</v>
          </cell>
          <cell r="E123"/>
        </row>
        <row r="124">
          <cell r="B124" t="str">
            <v>Manufyx</v>
          </cell>
          <cell r="E124"/>
        </row>
        <row r="125">
          <cell r="B125" t="str">
            <v>GreenPods</v>
          </cell>
          <cell r="E125"/>
        </row>
        <row r="126">
          <cell r="B126" t="str">
            <v>Leankloud</v>
          </cell>
          <cell r="E126"/>
        </row>
        <row r="127">
          <cell r="B127" t="str">
            <v>Velaan Mart</v>
          </cell>
          <cell r="E127"/>
        </row>
        <row r="128">
          <cell r="B128" t="str">
            <v>Hogist technologies Pvt Ltd</v>
          </cell>
          <cell r="E128"/>
        </row>
        <row r="129">
          <cell r="B129" t="str">
            <v>Dhobi G</v>
          </cell>
          <cell r="E129"/>
        </row>
        <row r="130">
          <cell r="B130" t="str">
            <v>Tamilpreneur</v>
          </cell>
          <cell r="E130"/>
        </row>
        <row r="131">
          <cell r="B131" t="str">
            <v>Aeronero Solutions Private Limited</v>
          </cell>
          <cell r="E131"/>
        </row>
        <row r="132">
          <cell r="B132" t="str">
            <v>Blueisland Clothing</v>
          </cell>
          <cell r="E132"/>
        </row>
        <row r="133">
          <cell r="B133" t="str">
            <v>Myharvest Farms</v>
          </cell>
          <cell r="E133"/>
        </row>
        <row r="134">
          <cell r="B134" t="str">
            <v>FynMobility</v>
          </cell>
          <cell r="E134"/>
        </row>
        <row r="135">
          <cell r="B135" t="str">
            <v>E-Sandhai</v>
          </cell>
          <cell r="E135"/>
        </row>
        <row r="136">
          <cell r="B136" t="str">
            <v>Rare &amp; Pure Specialities Pvt. Ltd. (Brand: B&amp;B Organics)</v>
          </cell>
          <cell r="E136"/>
        </row>
        <row r="137">
          <cell r="B137" t="str">
            <v>Jeevitham</v>
          </cell>
          <cell r="E137"/>
        </row>
        <row r="138">
          <cell r="B138" t="str">
            <v>Divine Foods</v>
          </cell>
          <cell r="E138"/>
        </row>
        <row r="139">
          <cell r="B139" t="str">
            <v>Servercake</v>
          </cell>
          <cell r="E139"/>
        </row>
        <row r="140">
          <cell r="B140" t="str">
            <v>Ask Eva</v>
          </cell>
          <cell r="E140"/>
        </row>
        <row r="141">
          <cell r="B141" t="str">
            <v>Cookr</v>
          </cell>
          <cell r="E141"/>
        </row>
        <row r="142">
          <cell r="B142" t="str">
            <v>Botminds.ai</v>
          </cell>
          <cell r="E142"/>
        </row>
        <row r="143">
          <cell r="B143" t="str">
            <v>Suriya Equipments</v>
          </cell>
          <cell r="E143"/>
        </row>
        <row r="144">
          <cell r="B144" t="str">
            <v>HS Specialities</v>
          </cell>
          <cell r="E144"/>
        </row>
        <row r="145">
          <cell r="B145" t="str">
            <v>GSV Industries</v>
          </cell>
          <cell r="E145"/>
        </row>
        <row r="146">
          <cell r="B146" t="str">
            <v>Intelle Power and Automation</v>
          </cell>
          <cell r="E146"/>
        </row>
        <row r="147">
          <cell r="B147" t="str">
            <v>Amaana Logistics</v>
          </cell>
          <cell r="E147"/>
        </row>
        <row r="148">
          <cell r="B148" t="str">
            <v>Inforce Solar</v>
          </cell>
          <cell r="E148"/>
        </row>
        <row r="149">
          <cell r="B149" t="str">
            <v xml:space="preserve">Hydro Meshines India private limited </v>
          </cell>
          <cell r="E149"/>
        </row>
        <row r="150">
          <cell r="B150" t="str">
            <v xml:space="preserve">Superteck Industries </v>
          </cell>
          <cell r="E150"/>
        </row>
        <row r="151">
          <cell r="B151" t="str">
            <v>Adya Interiors</v>
          </cell>
          <cell r="E151"/>
        </row>
        <row r="152">
          <cell r="B152" t="str">
            <v>GreenerG Mobility</v>
          </cell>
          <cell r="E152"/>
        </row>
        <row r="153">
          <cell r="B153" t="str">
            <v xml:space="preserve">Toram creators pvt ltd </v>
          </cell>
          <cell r="E153"/>
        </row>
        <row r="154">
          <cell r="B154" t="str">
            <v>Vassman Auto Private Limited</v>
          </cell>
          <cell r="E154"/>
        </row>
        <row r="155">
          <cell r="B155" t="str">
            <v>Expert value Pack</v>
          </cell>
          <cell r="E155"/>
        </row>
        <row r="156">
          <cell r="B156" t="str">
            <v>Mobi Tech Wireless Solution Pvt Ltd</v>
          </cell>
          <cell r="E156"/>
        </row>
        <row r="157">
          <cell r="B157" t="str">
            <v>Nisco Aegis Polymers - NuTech</v>
          </cell>
          <cell r="E157"/>
        </row>
        <row r="158">
          <cell r="B158" t="str">
            <v>Wondr Diamonds</v>
          </cell>
          <cell r="E158"/>
        </row>
        <row r="159">
          <cell r="B159" t="str">
            <v>Gorantla Geosynthetics</v>
          </cell>
          <cell r="E159"/>
        </row>
        <row r="160">
          <cell r="B160" t="str">
            <v>MiCoB Pvt Ltd</v>
          </cell>
          <cell r="E160"/>
        </row>
        <row r="161">
          <cell r="B161" t="str">
            <v>NG Earsafe</v>
          </cell>
          <cell r="E161"/>
        </row>
        <row r="162">
          <cell r="B162" t="str">
            <v>Nutrirasoi Foods Private Limited</v>
          </cell>
          <cell r="E162"/>
        </row>
        <row r="163">
          <cell r="B163" t="str">
            <v>Nuutjobs</v>
          </cell>
          <cell r="E163"/>
        </row>
        <row r="164">
          <cell r="B164" t="str">
            <v>Orbit Engifab Projects Pvt Ltd</v>
          </cell>
          <cell r="E164"/>
        </row>
        <row r="165">
          <cell r="B165" t="str">
            <v>Topline Switchgear Private Limited</v>
          </cell>
          <cell r="E165" t="str">
            <v>Steel structures for transmission line towers (33kV to 400kV); outdoor high-voltage switchgear (11-66kV) including isolators and disconnectors.</v>
          </cell>
        </row>
        <row r="166">
          <cell r="B166" t="str">
            <v>PowerTree</v>
          </cell>
          <cell r="E166"/>
        </row>
        <row r="167">
          <cell r="B167" t="str">
            <v>Preci-Max Rollers</v>
          </cell>
          <cell r="E167"/>
        </row>
        <row r="168">
          <cell r="B168" t="str">
            <v>Prime UAV</v>
          </cell>
          <cell r="E168"/>
        </row>
        <row r="169">
          <cell r="B169" t="str">
            <v>Qarmatek</v>
          </cell>
          <cell r="E169"/>
        </row>
        <row r="170">
          <cell r="B170" t="str">
            <v>Raw Pharma</v>
          </cell>
          <cell r="E170"/>
        </row>
        <row r="171">
          <cell r="B171" t="str">
            <v>REAGRI - NanoBee BioInnovations</v>
          </cell>
          <cell r="E171"/>
        </row>
        <row r="172">
          <cell r="B172" t="str">
            <v>Metallic Technoforge</v>
          </cell>
          <cell r="E172" t="str">
            <v>Fully finished forged components, gear components, and critical parts for hydraulic systems.</v>
          </cell>
        </row>
        <row r="173">
          <cell r="B173" t="str">
            <v>Redicine Medsol</v>
          </cell>
          <cell r="E173"/>
        </row>
        <row r="174">
          <cell r="B174" t="str">
            <v>Unique circle</v>
          </cell>
          <cell r="E174"/>
        </row>
        <row r="175">
          <cell r="B175" t="str">
            <v>Agrisia Agro</v>
          </cell>
          <cell r="E175"/>
        </row>
        <row r="176">
          <cell r="B176" t="str">
            <v>Ratna Udyog</v>
          </cell>
          <cell r="E176"/>
        </row>
        <row r="177">
          <cell r="B177" t="str">
            <v>Shree Multi Sticks &amp; labels</v>
          </cell>
          <cell r="E177"/>
        </row>
        <row r="178">
          <cell r="B178" t="str">
            <v>Sai Lee</v>
          </cell>
          <cell r="E178"/>
        </row>
        <row r="179">
          <cell r="B179" t="str">
            <v>Alpha Dies</v>
          </cell>
          <cell r="E179"/>
        </row>
        <row r="180">
          <cell r="B180" t="str">
            <v>Tech India Electrosolutions</v>
          </cell>
          <cell r="E180"/>
        </row>
        <row r="181">
          <cell r="B181" t="str">
            <v>Noble Cast Comp Pvt Ltd</v>
          </cell>
          <cell r="E181"/>
        </row>
        <row r="182">
          <cell r="B182" t="str">
            <v xml:space="preserve">Smart Foundry </v>
          </cell>
          <cell r="E182"/>
        </row>
        <row r="183">
          <cell r="B183" t="str">
            <v xml:space="preserve">Capaz Industries </v>
          </cell>
          <cell r="E183"/>
        </row>
        <row r="184">
          <cell r="B184" t="str">
            <v xml:space="preserve">Ecomak Systems Pvt ltd </v>
          </cell>
          <cell r="E184"/>
        </row>
        <row r="185">
          <cell r="B185" t="str">
            <v>Twin Engineers</v>
          </cell>
          <cell r="E185"/>
        </row>
        <row r="186">
          <cell r="B186" t="str">
            <v>Siddha Laxmi Engineering</v>
          </cell>
          <cell r="E186"/>
        </row>
        <row r="187">
          <cell r="B187" t="str">
            <v>Dhupar Brothers</v>
          </cell>
          <cell r="E187"/>
        </row>
        <row r="188">
          <cell r="B188" t="str">
            <v>Frizzle Foods</v>
          </cell>
          <cell r="E188"/>
        </row>
        <row r="189">
          <cell r="B189" t="str">
            <v>Alumatic Cans</v>
          </cell>
          <cell r="E189"/>
        </row>
        <row r="190">
          <cell r="B190" t="str">
            <v>Standard Plastics</v>
          </cell>
          <cell r="E190"/>
        </row>
        <row r="191">
          <cell r="B191" t="str">
            <v>D&amp;S Control</v>
          </cell>
          <cell r="E191"/>
        </row>
        <row r="192">
          <cell r="B192" t="str">
            <v>Sarumam Pharmacy</v>
          </cell>
          <cell r="E192"/>
        </row>
        <row r="193">
          <cell r="B193" t="str">
            <v>Tvasta</v>
          </cell>
          <cell r="E193"/>
        </row>
        <row r="194">
          <cell r="B194" t="str">
            <v>WACTO</v>
          </cell>
          <cell r="E194"/>
        </row>
        <row r="195">
          <cell r="B195" t="str">
            <v>EZLease</v>
          </cell>
          <cell r="E195"/>
        </row>
        <row r="196">
          <cell r="B196" t="str">
            <v>Tikitaro</v>
          </cell>
          <cell r="E196"/>
        </row>
        <row r="197">
          <cell r="B197" t="str">
            <v>Green Era Recyclers</v>
          </cell>
          <cell r="E197"/>
        </row>
        <row r="198">
          <cell r="B198" t="str">
            <v>Innovotek</v>
          </cell>
          <cell r="E198"/>
        </row>
        <row r="199">
          <cell r="B199" t="str">
            <v>ChimerTech</v>
          </cell>
          <cell r="E199"/>
        </row>
        <row r="200">
          <cell r="B200" t="str">
            <v>DailyGurus</v>
          </cell>
          <cell r="E200"/>
        </row>
        <row r="201">
          <cell r="B201" t="str">
            <v>Grow your farms</v>
          </cell>
          <cell r="E201"/>
        </row>
        <row r="202">
          <cell r="B202" t="str">
            <v>Futr.Ag</v>
          </cell>
          <cell r="E202"/>
        </row>
        <row r="203">
          <cell r="B203" t="str">
            <v>WEGoT</v>
          </cell>
          <cell r="E203"/>
        </row>
        <row r="204">
          <cell r="B204" t="str">
            <v>Cloudbankin</v>
          </cell>
          <cell r="E204"/>
        </row>
        <row r="205">
          <cell r="B205" t="str">
            <v>Sprint6 Smart Restroom Solutions</v>
          </cell>
          <cell r="E205"/>
        </row>
        <row r="206">
          <cell r="B206" t="str">
            <v>Scybers</v>
          </cell>
          <cell r="E206"/>
        </row>
        <row r="207">
          <cell r="B207" t="str">
            <v>Zmed</v>
          </cell>
          <cell r="E207"/>
        </row>
        <row r="208">
          <cell r="B208" t="str">
            <v>Agnoshin Technologies</v>
          </cell>
          <cell r="E208"/>
        </row>
        <row r="209">
          <cell r="B209" t="str">
            <v>Realtech GPS Pvt Ltd</v>
          </cell>
          <cell r="E209"/>
        </row>
        <row r="210">
          <cell r="B210" t="str">
            <v>GoWatr</v>
          </cell>
          <cell r="E210"/>
        </row>
        <row r="211">
          <cell r="B211" t="str">
            <v>AllMasters</v>
          </cell>
          <cell r="E211"/>
        </row>
        <row r="212">
          <cell r="B212" t="str">
            <v>Nebeskie Labs</v>
          </cell>
          <cell r="E212"/>
        </row>
        <row r="213">
          <cell r="B213" t="str">
            <v>Mountire</v>
          </cell>
          <cell r="E213"/>
        </row>
        <row r="214">
          <cell r="B214" t="str">
            <v>Serigen Mediproducts</v>
          </cell>
          <cell r="E214"/>
        </row>
        <row r="215">
          <cell r="B215" t="str">
            <v>Source One</v>
          </cell>
          <cell r="E215"/>
        </row>
        <row r="216">
          <cell r="B216" t="str">
            <v>Strides Software Solutions</v>
          </cell>
          <cell r="E216"/>
        </row>
        <row r="217">
          <cell r="B217" t="str">
            <v>Tight The Nut</v>
          </cell>
          <cell r="E217"/>
        </row>
        <row r="218">
          <cell r="B218" t="str">
            <v>Truscholar</v>
          </cell>
          <cell r="E218"/>
        </row>
        <row r="219">
          <cell r="B219" t="str">
            <v>Dalnex</v>
          </cell>
          <cell r="E219"/>
        </row>
        <row r="220">
          <cell r="B220" t="str">
            <v>Apaha</v>
          </cell>
          <cell r="E220"/>
        </row>
        <row r="221">
          <cell r="B221" t="str">
            <v>Extra Edge</v>
          </cell>
          <cell r="E221"/>
        </row>
        <row r="222">
          <cell r="B222" t="str">
            <v>Kisan Gas</v>
          </cell>
          <cell r="E222"/>
        </row>
        <row r="223">
          <cell r="B223" t="str">
            <v>Vold Energy</v>
          </cell>
          <cell r="E223"/>
        </row>
        <row r="224">
          <cell r="B224" t="str">
            <v>ByteMonk</v>
          </cell>
          <cell r="E224"/>
        </row>
        <row r="225">
          <cell r="B225" t="str">
            <v>Minutus Computing</v>
          </cell>
          <cell r="E225"/>
        </row>
        <row r="226">
          <cell r="B226" t="str">
            <v>Frevolt</v>
          </cell>
          <cell r="E226"/>
        </row>
        <row r="227">
          <cell r="B227" t="str">
            <v>Rupiya Finnovations Pvt Ltd</v>
          </cell>
          <cell r="E227"/>
        </row>
        <row r="228">
          <cell r="B228" t="str">
            <v>Safilo Healthcare</v>
          </cell>
          <cell r="E228"/>
        </row>
        <row r="229">
          <cell r="B229" t="str">
            <v xml:space="preserve">Sai DharaNX Pvt ltd </v>
          </cell>
          <cell r="E229"/>
        </row>
        <row r="230">
          <cell r="B230" t="str">
            <v>Shreenathji Steel</v>
          </cell>
          <cell r="E230"/>
        </row>
        <row r="231">
          <cell r="B231" t="str">
            <v>PB Tractors Spares Pvt ltd</v>
          </cell>
          <cell r="E231" t="str">
            <v>Metal fabrication &amp; agro-related components</v>
          </cell>
        </row>
        <row r="232">
          <cell r="B232" t="str">
            <v>Smart Node</v>
          </cell>
          <cell r="E232"/>
        </row>
        <row r="233">
          <cell r="B233" t="str">
            <v>SRP CRANE CONTROLS</v>
          </cell>
          <cell r="E233"/>
        </row>
        <row r="234">
          <cell r="B234" t="str">
            <v>Stembotix</v>
          </cell>
          <cell r="E234"/>
        </row>
        <row r="235">
          <cell r="B235" t="str">
            <v>StemPedia</v>
          </cell>
          <cell r="E235"/>
        </row>
        <row r="236">
          <cell r="B236" t="str">
            <v>Stroom</v>
          </cell>
          <cell r="E236"/>
        </row>
        <row r="237">
          <cell r="B237" t="str">
            <v>IMPEL ENGINEERS PVT LTD</v>
          </cell>
          <cell r="E237" t="str">
            <v>Electrical control panels (incl. solar ACDB, VFD panels)</v>
          </cell>
        </row>
        <row r="238">
          <cell r="B238" t="str">
            <v>Siddhi Group (SMB)</v>
          </cell>
          <cell r="E238" t="str">
            <v>Patented sustainable bobbins &amp; age-hardened cheese tubes</v>
          </cell>
        </row>
        <row r="239">
          <cell r="B239" t="str">
            <v>Torchit</v>
          </cell>
          <cell r="E239"/>
        </row>
        <row r="240">
          <cell r="B240" t="str">
            <v>Univia</v>
          </cell>
          <cell r="E240"/>
        </row>
        <row r="241">
          <cell r="B241" t="str">
            <v>Urban Naps</v>
          </cell>
          <cell r="E241"/>
        </row>
        <row r="242">
          <cell r="B242" t="str">
            <v>Vastra App</v>
          </cell>
          <cell r="E242"/>
        </row>
        <row r="243">
          <cell r="B243" t="str">
            <v>Venus Engineering</v>
          </cell>
          <cell r="E243"/>
        </row>
        <row r="244">
          <cell r="B244" t="str">
            <v>VideoSDK</v>
          </cell>
          <cell r="E244"/>
        </row>
        <row r="245">
          <cell r="B245" t="str">
            <v>WoGOM</v>
          </cell>
          <cell r="E245"/>
        </row>
        <row r="246">
          <cell r="B246" t="str">
            <v>MIPA Industries</v>
          </cell>
          <cell r="E246"/>
        </row>
        <row r="248">
          <cell r="B248" t="str">
            <v>&gt;&gt; Chennai hub</v>
          </cell>
        </row>
        <row r="249">
          <cell r="B249" t="str">
            <v>Ramprasad Tubes</v>
          </cell>
          <cell r="E249" t="str">
            <v>Upgraded production of cold-drawn flats and bars using newly automated peeling machines and combined draw benches to drastically reduce labor costs and improve margins</v>
          </cell>
        </row>
        <row r="250">
          <cell r="B250" t="str">
            <v>GoWelMart</v>
          </cell>
          <cell r="E250" t="str">
            <v>Mobile handsets (driving ~80-85% of revenue at 4% gross margin) and mobile accessories (15-20% of revenue)
. We recently launched our first 3 private-label OEM accessories (AirPods, neckbands, power banks) yielding over 25% margins</v>
          </cell>
        </row>
        <row r="251">
          <cell r="B251" t="str">
            <v>Unicon Group of Companies</v>
          </cell>
          <cell r="E251" t="str">
            <v>Electrostatic Precipitator (ESP), contributes 80% to 90% of our total revenue</v>
          </cell>
        </row>
        <row r="253">
          <cell r="B253" t="str">
            <v>&gt;&gt; Pune Hub</v>
          </cell>
        </row>
        <row r="254">
          <cell r="B254" t="str">
            <v>Shree Multi Sticks &amp; labels</v>
          </cell>
          <cell r="E254" t="str">
            <v xml:space="preserve">Printed Labels, Barcodes </v>
          </cell>
        </row>
        <row r="255">
          <cell r="B255" t="str">
            <v>MIPA Industries</v>
          </cell>
          <cell r="E255" t="str">
            <v>Polymer &amp; Plasticulture Solutions</v>
          </cell>
        </row>
        <row r="256">
          <cell r="B256" t="str">
            <v>Atreya Innovations</v>
          </cell>
          <cell r="E256" t="str">
            <v>HealthTech / AI Diagnostics</v>
          </cell>
        </row>
        <row r="257">
          <cell r="B257" t="str">
            <v>Ahmedabad Hub</v>
          </cell>
        </row>
        <row r="258">
          <cell r="B258" t="str">
            <v>CleanX Agro</v>
          </cell>
          <cell r="E258" t="str">
            <v>&gt;&gt; Agro Processing Machinery
&gt;&gt; Dal Miling machine
&gt;&gt; Sorting and grading systems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F786gamMTEKrtpcJOq2DD9MVR2G-huBMjqStsittaywLzdM2SsXzRKYi7MJqjG2j" itemId="01WIWI3ZY53O6M3IZJXZG26PA3W6OGI7F6">
      <xxl21:absoluteUrl r:id="rId2"/>
    </xxl21:alternateUrls>
    <sheetNames>
      <sheetName val="Working SUP"/>
      <sheetName val="Working SMB"/>
      <sheetName val="SUP "/>
      <sheetName val="SMB"/>
      <sheetName val="Anuradha"/>
      <sheetName val="Udayan"/>
      <sheetName val="Top Stories"/>
      <sheetName val="Oct insights"/>
      <sheetName val="Sheet2"/>
      <sheetName val="Sheet5"/>
      <sheetName val="Data.Oct 17"/>
      <sheetName val="Chart"/>
      <sheetName val="Mapping Status"/>
      <sheetName val="Job &amp; Rev SUP"/>
      <sheetName val="Job &amp; Rev (SMB)"/>
      <sheetName val="Sheet1"/>
      <sheetName val="Triaging SUP 26"/>
      <sheetName val="Triaging SMB 26"/>
      <sheetName val="Triaging 8%"/>
      <sheetName val="SMB Quarterly Tracking"/>
      <sheetName val="SUP Quarterly Tracking"/>
      <sheetName val="Pivot"/>
      <sheetName val="Engagement_Summary"/>
      <sheetName val="Portfolio"/>
    </sheetNames>
    <sheetDataSet>
      <sheetData sheetId="0"/>
      <sheetData sheetId="1"/>
      <sheetData sheetId="2">
        <row r="1">
          <cell r="N1"/>
        </row>
      </sheetData>
      <sheetData sheetId="3">
        <row r="2">
          <cell r="D2" t="str">
            <v>Venture</v>
          </cell>
          <cell r="Q2" t="str">
            <v>FY 2024- 25 (actuals) (INR Crore)CRM</v>
          </cell>
        </row>
        <row r="3">
          <cell r="D3" t="str">
            <v>Siddhi Group (SMB)</v>
          </cell>
          <cell r="Q3">
            <v>18</v>
          </cell>
        </row>
        <row r="4">
          <cell r="D4" t="str">
            <v>Topline Switchgear Private Limited</v>
          </cell>
          <cell r="Q4">
            <v>154.5</v>
          </cell>
        </row>
        <row r="5">
          <cell r="D5" t="str">
            <v>GD Waldner</v>
          </cell>
          <cell r="Q5">
            <v>120</v>
          </cell>
        </row>
        <row r="6">
          <cell r="D6" t="str">
            <v>Bonus Plastics</v>
          </cell>
          <cell r="Q6">
            <v>36.479999999999997</v>
          </cell>
        </row>
        <row r="7">
          <cell r="D7" t="str">
            <v>Shubham Aquavitro</v>
          </cell>
          <cell r="Q7">
            <v>22</v>
          </cell>
        </row>
        <row r="8">
          <cell r="D8" t="str">
            <v>Saj Test</v>
          </cell>
          <cell r="Q8">
            <v>36</v>
          </cell>
        </row>
        <row r="9">
          <cell r="D9" t="str">
            <v>WoGOM</v>
          </cell>
          <cell r="Q9">
            <v>3.16</v>
          </cell>
        </row>
        <row r="10">
          <cell r="D10" t="str">
            <v>Zeus Engitech Private Limited</v>
          </cell>
          <cell r="Q10">
            <v>19.5</v>
          </cell>
        </row>
        <row r="11">
          <cell r="D11" t="str">
            <v>Reckon Diagnostic</v>
          </cell>
          <cell r="Q11">
            <v>25.95</v>
          </cell>
        </row>
        <row r="12">
          <cell r="D12" t="str">
            <v>Amsol Industries Private Limited</v>
          </cell>
          <cell r="Q12">
            <v>15</v>
          </cell>
        </row>
        <row r="13">
          <cell r="D13" t="str">
            <v>IMPEL ENGINEERS PVT LTD</v>
          </cell>
          <cell r="Q13">
            <v>10</v>
          </cell>
        </row>
        <row r="14">
          <cell r="D14" t="str">
            <v>Precision Sintered Products</v>
          </cell>
          <cell r="Q14">
            <v>12</v>
          </cell>
        </row>
        <row r="15">
          <cell r="D15" t="str">
            <v>Shreenathji Steel</v>
          </cell>
          <cell r="Q15">
            <v>82</v>
          </cell>
        </row>
        <row r="16">
          <cell r="D16" t="str">
            <v>Preci-Max Rollers</v>
          </cell>
          <cell r="Q16">
            <v>21</v>
          </cell>
        </row>
        <row r="17">
          <cell r="D17" t="str">
            <v>Dezire Fabtech LLP</v>
          </cell>
          <cell r="Q17">
            <v>12.5</v>
          </cell>
        </row>
        <row r="18">
          <cell r="D18" t="str">
            <v>Recla int.pvt ltd</v>
          </cell>
          <cell r="Q18">
            <v>25</v>
          </cell>
        </row>
        <row r="19">
          <cell r="D19" t="str">
            <v>Organics Sattva</v>
          </cell>
          <cell r="Q19">
            <v>46</v>
          </cell>
        </row>
        <row r="20">
          <cell r="D20" t="str">
            <v>Elite Decor</v>
          </cell>
          <cell r="Q20">
            <v>60</v>
          </cell>
        </row>
        <row r="21">
          <cell r="D21" t="str">
            <v>Kadillac Chemicals</v>
          </cell>
          <cell r="Q21">
            <v>50</v>
          </cell>
        </row>
        <row r="22">
          <cell r="D22" t="str">
            <v>Metallic Technoforge</v>
          </cell>
          <cell r="Q22">
            <v>75.19</v>
          </cell>
        </row>
        <row r="23">
          <cell r="D23" t="str">
            <v>Vrundhavan Dairy</v>
          </cell>
          <cell r="Q23">
            <v>6</v>
          </cell>
        </row>
        <row r="24">
          <cell r="D24" t="str">
            <v>Galaxy Chains</v>
          </cell>
          <cell r="Q24">
            <v>20</v>
          </cell>
        </row>
        <row r="25">
          <cell r="D25" t="str">
            <v>Elysium Group of Companies</v>
          </cell>
          <cell r="Q25">
            <v>50</v>
          </cell>
        </row>
        <row r="26">
          <cell r="D26" t="str">
            <v>Powerpace Energy</v>
          </cell>
          <cell r="Q26">
            <v>3</v>
          </cell>
        </row>
        <row r="27">
          <cell r="D27" t="str">
            <v>Rawmart</v>
          </cell>
          <cell r="Q27">
            <v>85</v>
          </cell>
        </row>
        <row r="28">
          <cell r="D28" t="str">
            <v>ARGE(ABSOLUTE RG EQUIPMENT PVT LTD)</v>
          </cell>
          <cell r="Q28">
            <v>13</v>
          </cell>
        </row>
        <row r="29">
          <cell r="D29" t="str">
            <v>Southern Alloy</v>
          </cell>
          <cell r="Q29">
            <v>35</v>
          </cell>
        </row>
        <row r="30">
          <cell r="D30" t="str">
            <v>Precision Equipments</v>
          </cell>
          <cell r="Q30">
            <v>330</v>
          </cell>
        </row>
        <row r="31">
          <cell r="D31" t="str">
            <v>Windplus Pvt Ltd</v>
          </cell>
          <cell r="Q31">
            <v>22</v>
          </cell>
        </row>
        <row r="32">
          <cell r="D32" t="str">
            <v>Crowntech Surface Finishings Pvt Ltd</v>
          </cell>
          <cell r="Q32">
            <v>33.799999999999997</v>
          </cell>
        </row>
        <row r="33">
          <cell r="D33" t="str">
            <v>Padmavahini Transformers</v>
          </cell>
          <cell r="Q33">
            <v>26.5</v>
          </cell>
        </row>
        <row r="34">
          <cell r="D34" t="str">
            <v>Rio Innobev</v>
          </cell>
          <cell r="Q34">
            <v>25</v>
          </cell>
        </row>
        <row r="35">
          <cell r="D35" t="str">
            <v>CleanX Agro solutions</v>
          </cell>
          <cell r="Q35">
            <v>16</v>
          </cell>
        </row>
        <row r="36">
          <cell r="D36" t="str">
            <v>Terra Equipment</v>
          </cell>
          <cell r="Q36">
            <v>29</v>
          </cell>
        </row>
        <row r="37">
          <cell r="D37" t="str">
            <v>Ramprasad Tubes</v>
          </cell>
          <cell r="Q37">
            <v>53</v>
          </cell>
        </row>
        <row r="38">
          <cell r="D38" t="str">
            <v>MIPA Industries</v>
          </cell>
          <cell r="Q38">
            <v>47.62</v>
          </cell>
        </row>
        <row r="39">
          <cell r="D39" t="str">
            <v>Klintek Engineers</v>
          </cell>
          <cell r="Q39">
            <v>3.75</v>
          </cell>
        </row>
        <row r="40">
          <cell r="D40" t="str">
            <v>Airwill Home Collections</v>
          </cell>
          <cell r="Q40">
            <v>14</v>
          </cell>
        </row>
        <row r="41">
          <cell r="D41" t="str">
            <v>Dutt AdTech Pvt Ltd.</v>
          </cell>
          <cell r="Q41">
            <v>5</v>
          </cell>
        </row>
        <row r="42">
          <cell r="D42" t="str">
            <v>MECHAIR INDUSTRIES</v>
          </cell>
          <cell r="Q42">
            <v>5</v>
          </cell>
        </row>
        <row r="43">
          <cell r="D43" t="str">
            <v>Magnetic &amp; Control Pvt Ltd</v>
          </cell>
          <cell r="Q43">
            <v>25</v>
          </cell>
        </row>
        <row r="44">
          <cell r="D44" t="str">
            <v>Navy Blue Energy</v>
          </cell>
          <cell r="Q44">
            <v>22.5</v>
          </cell>
        </row>
        <row r="45">
          <cell r="D45" t="str">
            <v>Agni Solar Systems</v>
          </cell>
          <cell r="Q45">
            <v>25</v>
          </cell>
        </row>
        <row r="46">
          <cell r="D46" t="str">
            <v>Jagadamba Engineers</v>
          </cell>
          <cell r="Q46">
            <v>60</v>
          </cell>
        </row>
        <row r="47">
          <cell r="D47" t="str">
            <v>Rahul Engineering</v>
          </cell>
          <cell r="Q47">
            <v>35</v>
          </cell>
        </row>
        <row r="48">
          <cell r="D48" t="str">
            <v>GoWelMart</v>
          </cell>
          <cell r="Q48">
            <v>70</v>
          </cell>
        </row>
        <row r="49">
          <cell r="D49" t="str">
            <v>Air Master Flowtec Pvt Ltd</v>
          </cell>
          <cell r="Q49">
            <v>18</v>
          </cell>
        </row>
        <row r="50">
          <cell r="D50" t="str">
            <v>ADS Associates &amp; Group of Company</v>
          </cell>
          <cell r="Q50">
            <v>47</v>
          </cell>
        </row>
        <row r="51">
          <cell r="D51" t="str">
            <v>Unicon Group of Companies</v>
          </cell>
          <cell r="Q51">
            <v>93.4</v>
          </cell>
        </row>
        <row r="52">
          <cell r="D52" t="str">
            <v>Meta BioWare LLP</v>
          </cell>
          <cell r="Q52">
            <v>14</v>
          </cell>
        </row>
        <row r="53">
          <cell r="D53" t="str">
            <v>Suman Exports</v>
          </cell>
          <cell r="Q53">
            <v>90</v>
          </cell>
        </row>
        <row r="54">
          <cell r="D54" t="str">
            <v xml:space="preserve">Sai DharaNX Pvt ltd </v>
          </cell>
          <cell r="Q54">
            <v>25</v>
          </cell>
        </row>
        <row r="55">
          <cell r="D55" t="str">
            <v xml:space="preserve">Jimit Medico Surgicals </v>
          </cell>
          <cell r="Q55">
            <v>21</v>
          </cell>
        </row>
        <row r="56">
          <cell r="D56" t="str">
            <v>Evocative Industries</v>
          </cell>
          <cell r="Q56">
            <v>18</v>
          </cell>
        </row>
        <row r="57">
          <cell r="D57" t="str">
            <v>K and K Inc</v>
          </cell>
          <cell r="Q57">
            <v>25</v>
          </cell>
        </row>
        <row r="58">
          <cell r="D58" t="str">
            <v>PB Tractors Spares Pvt ltd</v>
          </cell>
          <cell r="Q58">
            <v>22</v>
          </cell>
        </row>
        <row r="59">
          <cell r="D59" t="str">
            <v>Venus Engineering</v>
          </cell>
          <cell r="Q59">
            <v>20</v>
          </cell>
        </row>
        <row r="60">
          <cell r="D60" t="str">
            <v>Orbit Engifab Projects Pvt Ltd</v>
          </cell>
          <cell r="Q60">
            <v>5</v>
          </cell>
        </row>
        <row r="61">
          <cell r="D61" t="str">
            <v>Suriya Equipments</v>
          </cell>
          <cell r="Q61">
            <v>20</v>
          </cell>
        </row>
        <row r="62">
          <cell r="D62" t="str">
            <v>HS Specialities</v>
          </cell>
          <cell r="Q62">
            <v>39</v>
          </cell>
        </row>
        <row r="63">
          <cell r="D63" t="str">
            <v>GSV Industries</v>
          </cell>
          <cell r="Q63">
            <v>28</v>
          </cell>
        </row>
        <row r="64">
          <cell r="D64" t="str">
            <v>Intelle Power and Automation</v>
          </cell>
          <cell r="Q64">
            <v>35</v>
          </cell>
        </row>
        <row r="65">
          <cell r="D65" t="str">
            <v>Amaana Logistics</v>
          </cell>
          <cell r="Q65">
            <v>15</v>
          </cell>
        </row>
        <row r="66">
          <cell r="D66" t="str">
            <v>Inforce Solar</v>
          </cell>
          <cell r="Q66">
            <v>25</v>
          </cell>
        </row>
        <row r="67">
          <cell r="D67" t="str">
            <v xml:space="preserve">Hydro Meshines India private limited </v>
          </cell>
          <cell r="Q67">
            <v>19</v>
          </cell>
        </row>
        <row r="68">
          <cell r="D68" t="str">
            <v xml:space="preserve">Superteck Industries </v>
          </cell>
          <cell r="Q68">
            <v>152</v>
          </cell>
        </row>
        <row r="69">
          <cell r="D69" t="str">
            <v>Adya Interiors</v>
          </cell>
          <cell r="Q69">
            <v>72.400000000000006</v>
          </cell>
        </row>
        <row r="70">
          <cell r="D70" t="str">
            <v>GreenerG Mobility</v>
          </cell>
          <cell r="Q70">
            <v>7</v>
          </cell>
        </row>
        <row r="71">
          <cell r="D71" t="str">
            <v>Unique circle</v>
          </cell>
          <cell r="Q71">
            <v>45</v>
          </cell>
        </row>
        <row r="72">
          <cell r="D72" t="str">
            <v>Agrisia Agro</v>
          </cell>
          <cell r="Q72">
            <v>100</v>
          </cell>
        </row>
        <row r="73">
          <cell r="D73" t="str">
            <v>Ratna Udyog</v>
          </cell>
          <cell r="Q73">
            <v>68</v>
          </cell>
        </row>
        <row r="74">
          <cell r="D74" t="str">
            <v>Shree Multi Sticks &amp; labels</v>
          </cell>
          <cell r="Q74">
            <v>38</v>
          </cell>
        </row>
        <row r="75">
          <cell r="D75" t="str">
            <v>Sai Lee</v>
          </cell>
          <cell r="Q75">
            <v>27</v>
          </cell>
        </row>
        <row r="76">
          <cell r="D76" t="str">
            <v>Alpha Dies</v>
          </cell>
          <cell r="Q76">
            <v>34</v>
          </cell>
        </row>
        <row r="77">
          <cell r="D77" t="str">
            <v xml:space="preserve">Toram creators pvt ltd </v>
          </cell>
          <cell r="Q77">
            <v>70</v>
          </cell>
        </row>
        <row r="78">
          <cell r="D78" t="str">
            <v>Vassman Auto Private Limited</v>
          </cell>
          <cell r="Q78">
            <v>12</v>
          </cell>
        </row>
        <row r="79">
          <cell r="D79" t="str">
            <v>Expert value Pack</v>
          </cell>
          <cell r="Q79">
            <v>26.5</v>
          </cell>
        </row>
        <row r="80">
          <cell r="D80" t="str">
            <v>Mobi Tech Wireless Solution Pvt Ltd</v>
          </cell>
          <cell r="Q80">
            <v>26</v>
          </cell>
        </row>
        <row r="81">
          <cell r="D81" t="str">
            <v>Tech India Electrosolutions</v>
          </cell>
          <cell r="Q81">
            <v>72</v>
          </cell>
        </row>
        <row r="82">
          <cell r="D82" t="str">
            <v>Noble Cast Comp Pvt Ltd</v>
          </cell>
          <cell r="Q82">
            <v>80</v>
          </cell>
        </row>
        <row r="83">
          <cell r="D83" t="str">
            <v xml:space="preserve">Smart Foundry </v>
          </cell>
          <cell r="Q83">
            <v>70</v>
          </cell>
        </row>
        <row r="84">
          <cell r="D84" t="str">
            <v xml:space="preserve">Capaz Industries </v>
          </cell>
          <cell r="Q84">
            <v>62</v>
          </cell>
        </row>
        <row r="85">
          <cell r="D85" t="str">
            <v xml:space="preserve">Ecomak Systems Pvt ltd </v>
          </cell>
          <cell r="Q85">
            <v>83</v>
          </cell>
        </row>
        <row r="86">
          <cell r="D86" t="str">
            <v>Nisco Aegis Polymers - NuTech</v>
          </cell>
          <cell r="Q86">
            <v>9.25</v>
          </cell>
        </row>
        <row r="87">
          <cell r="D87" t="str">
            <v>Aatomize</v>
          </cell>
          <cell r="Q87">
            <v>30</v>
          </cell>
        </row>
        <row r="88">
          <cell r="D88" t="str">
            <v>Gearlinc Systems</v>
          </cell>
          <cell r="Q88">
            <v>29.5</v>
          </cell>
        </row>
        <row r="89">
          <cell r="D89" t="str">
            <v>Safilo Healthcare</v>
          </cell>
          <cell r="Q89">
            <v>35</v>
          </cell>
        </row>
        <row r="90">
          <cell r="D90" t="str">
            <v>Frebi Technology</v>
          </cell>
          <cell r="Q90">
            <v>15</v>
          </cell>
        </row>
        <row r="91">
          <cell r="D91" t="str">
            <v>Jay Balaji Industries</v>
          </cell>
          <cell r="Q91">
            <v>10</v>
          </cell>
        </row>
        <row r="92">
          <cell r="D92" t="str">
            <v>Atkotiya Engineering Works Pvt. Ltd.</v>
          </cell>
          <cell r="Q92">
            <v>20</v>
          </cell>
        </row>
        <row r="93">
          <cell r="D93" t="str">
            <v>INNOVITA INDUSTRIES PVT LTD</v>
          </cell>
          <cell r="Q93">
            <v>2</v>
          </cell>
        </row>
        <row r="94">
          <cell r="D94" t="str">
            <v>SRP CRANE CONTROLS</v>
          </cell>
          <cell r="Q94">
            <v>20</v>
          </cell>
        </row>
        <row r="95">
          <cell r="D95" t="str">
            <v>Wondr Diamonds</v>
          </cell>
          <cell r="Q95">
            <v>100</v>
          </cell>
        </row>
        <row r="96">
          <cell r="D96" t="str">
            <v>Gorantla Geosynthetics</v>
          </cell>
          <cell r="Q96">
            <v>66</v>
          </cell>
        </row>
        <row r="97">
          <cell r="D97" t="str">
            <v>Twin Engineers</v>
          </cell>
          <cell r="Q97">
            <v>50</v>
          </cell>
        </row>
        <row r="98">
          <cell r="D98" t="str">
            <v>Siddha Laxmi Engineering</v>
          </cell>
          <cell r="Q98">
            <v>28</v>
          </cell>
        </row>
        <row r="99">
          <cell r="D99" t="str">
            <v>Dhupar Brothers</v>
          </cell>
          <cell r="Q99">
            <v>272</v>
          </cell>
        </row>
        <row r="100">
          <cell r="D100" t="str">
            <v>Frizzle Foods</v>
          </cell>
          <cell r="Q100">
            <v>86</v>
          </cell>
        </row>
        <row r="101">
          <cell r="D101" t="str">
            <v>Alumatic Cans</v>
          </cell>
          <cell r="Q101">
            <v>57</v>
          </cell>
        </row>
        <row r="102">
          <cell r="D102" t="str">
            <v>Standard Plastics</v>
          </cell>
          <cell r="Q102">
            <v>21</v>
          </cell>
        </row>
        <row r="103">
          <cell r="D103" t="str">
            <v>D&amp;S Control</v>
          </cell>
          <cell r="Q103">
            <v>9.5</v>
          </cell>
        </row>
        <row r="104">
          <cell r="D104"/>
          <cell r="Q104"/>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ebrahim@gowelmart.com" TargetMode="External"/><Relationship Id="rId2" Type="http://schemas.openxmlformats.org/officeDocument/2006/relationships/hyperlink" Target="mailto:payal@reckondiagnostics.com" TargetMode="External"/><Relationship Id="rId1" Type="http://schemas.openxmlformats.org/officeDocument/2006/relationships/hyperlink" Target="mailto:prg@siddhiindia.com" TargetMode="External"/><Relationship Id="rId6" Type="http://schemas.openxmlformats.org/officeDocument/2006/relationships/hyperlink" Target="mailto:Pbtractor955@gmail.com" TargetMode="External"/><Relationship Id="rId5" Type="http://schemas.openxmlformats.org/officeDocument/2006/relationships/hyperlink" Target="mailto:pramod@shreemultigroups.com" TargetMode="External"/><Relationship Id="rId4" Type="http://schemas.openxmlformats.org/officeDocument/2006/relationships/hyperlink" Target="mailto:ceo@uniconinter.com%20%7Cnandhini@uniconinter.com%7C%20ram@uniconengineer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shruthi.ts@wadhwanifoundation.org" TargetMode="External"/><Relationship Id="rId2" Type="http://schemas.openxmlformats.org/officeDocument/2006/relationships/hyperlink" Target="mailto:shruthi.ts@wadhwanifoundation.org" TargetMode="External"/><Relationship Id="rId1" Type="http://schemas.openxmlformats.org/officeDocument/2006/relationships/hyperlink" Target="mailto:shruthi.ts@wadhwanifoundation.org"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f:/s/WadhwaniAccelerate/IgCv34wZ5oGzT6qBJLTHnZNWAWkF7WCHrzAhq-sLI-njfJs?e=JjMt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sheetPr>
  <dimension ref="A1:B31"/>
  <sheetViews>
    <sheetView workbookViewId="0"/>
  </sheetViews>
  <sheetFormatPr defaultColWidth="8.85546875" defaultRowHeight="14.45"/>
  <cols>
    <col min="1" max="1" width="45" customWidth="1"/>
    <col min="2" max="2" width="80" customWidth="1"/>
  </cols>
  <sheetData>
    <row r="1" spans="1:2" ht="36">
      <c r="A1" s="1" t="s">
        <v>0</v>
      </c>
      <c r="B1" s="2"/>
    </row>
    <row r="2" spans="1:2">
      <c r="A2" s="2"/>
      <c r="B2" s="2"/>
    </row>
    <row r="3" spans="1:2" ht="28.9">
      <c r="A3" s="3" t="s">
        <v>1</v>
      </c>
      <c r="B3" s="2" t="s">
        <v>2</v>
      </c>
    </row>
    <row r="4" spans="1:2">
      <c r="A4" s="2"/>
      <c r="B4" s="2"/>
    </row>
    <row r="5" spans="1:2" ht="15.6">
      <c r="A5" s="3" t="s">
        <v>3</v>
      </c>
      <c r="B5" s="2"/>
    </row>
    <row r="6" spans="1:2" ht="28.9">
      <c r="A6" s="4" t="s">
        <v>4</v>
      </c>
      <c r="B6" s="2" t="s">
        <v>5</v>
      </c>
    </row>
    <row r="7" spans="1:2" ht="43.15">
      <c r="A7" s="4" t="s">
        <v>6</v>
      </c>
      <c r="B7" s="2" t="s">
        <v>7</v>
      </c>
    </row>
    <row r="8" spans="1:2" ht="28.9">
      <c r="A8" s="4" t="s">
        <v>8</v>
      </c>
      <c r="B8" s="2" t="s">
        <v>9</v>
      </c>
    </row>
    <row r="9" spans="1:2" ht="28.9">
      <c r="A9" s="4" t="s">
        <v>10</v>
      </c>
      <c r="B9" s="2" t="s">
        <v>11</v>
      </c>
    </row>
    <row r="10" spans="1:2" ht="28.9">
      <c r="A10" s="4" t="s">
        <v>12</v>
      </c>
      <c r="B10" s="2" t="s">
        <v>13</v>
      </c>
    </row>
    <row r="11" spans="1:2">
      <c r="A11" s="2"/>
      <c r="B11" s="2"/>
    </row>
    <row r="12" spans="1:2" ht="15.6">
      <c r="A12" s="3" t="s">
        <v>14</v>
      </c>
      <c r="B12" s="2"/>
    </row>
    <row r="13" spans="1:2">
      <c r="A13" s="2" t="s">
        <v>15</v>
      </c>
      <c r="B13" s="2"/>
    </row>
    <row r="14" spans="1:2" ht="28.9">
      <c r="A14" s="2" t="s">
        <v>16</v>
      </c>
      <c r="B14" s="2"/>
    </row>
    <row r="15" spans="1:2" ht="28.9">
      <c r="A15" s="2" t="s">
        <v>17</v>
      </c>
      <c r="B15" s="2"/>
    </row>
    <row r="16" spans="1:2" ht="28.9">
      <c r="A16" s="2" t="s">
        <v>18</v>
      </c>
      <c r="B16" s="2"/>
    </row>
    <row r="17" spans="1:2">
      <c r="A17" s="2" t="s">
        <v>19</v>
      </c>
      <c r="B17" s="2"/>
    </row>
    <row r="18" spans="1:2">
      <c r="A18" s="2" t="s">
        <v>20</v>
      </c>
      <c r="B18" s="2"/>
    </row>
    <row r="19" spans="1:2" ht="28.9">
      <c r="A19" s="2" t="s">
        <v>21</v>
      </c>
      <c r="B19" s="2"/>
    </row>
    <row r="20" spans="1:2">
      <c r="A20" s="2"/>
      <c r="B20" s="2"/>
    </row>
    <row r="21" spans="1:2" ht="15.6">
      <c r="A21" s="3" t="s">
        <v>22</v>
      </c>
      <c r="B21" s="2"/>
    </row>
    <row r="22" spans="1:2">
      <c r="A22" s="2" t="s">
        <v>23</v>
      </c>
      <c r="B22" s="2" t="s">
        <v>24</v>
      </c>
    </row>
    <row r="23" spans="1:2">
      <c r="A23" s="2" t="s">
        <v>25</v>
      </c>
      <c r="B23" s="2" t="s">
        <v>26</v>
      </c>
    </row>
    <row r="24" spans="1:2">
      <c r="A24" s="2" t="s">
        <v>27</v>
      </c>
      <c r="B24" s="2" t="s">
        <v>28</v>
      </c>
    </row>
    <row r="25" spans="1:2">
      <c r="A25" s="2" t="s">
        <v>29</v>
      </c>
      <c r="B25" s="2" t="s">
        <v>30</v>
      </c>
    </row>
    <row r="26" spans="1:2" ht="28.9">
      <c r="A26" s="2" t="s">
        <v>31</v>
      </c>
      <c r="B26" s="2" t="s">
        <v>32</v>
      </c>
    </row>
    <row r="27" spans="1:2">
      <c r="A27" s="2" t="s">
        <v>33</v>
      </c>
      <c r="B27" s="2" t="s">
        <v>34</v>
      </c>
    </row>
    <row r="28" spans="1:2">
      <c r="A28" s="2" t="s">
        <v>35</v>
      </c>
      <c r="B28" s="2" t="s">
        <v>36</v>
      </c>
    </row>
    <row r="29" spans="1:2">
      <c r="A29" s="2" t="s">
        <v>37</v>
      </c>
      <c r="B29" s="2" t="s">
        <v>38</v>
      </c>
    </row>
    <row r="30" spans="1:2" ht="28.9">
      <c r="A30" s="2" t="s">
        <v>39</v>
      </c>
      <c r="B30" s="2" t="s">
        <v>40</v>
      </c>
    </row>
    <row r="31" spans="1:2">
      <c r="A31" s="2" t="s">
        <v>41</v>
      </c>
      <c r="B31" s="2"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1"/>
  <sheetViews>
    <sheetView workbookViewId="0">
      <pane ySplit="1" topLeftCell="A8" activePane="bottomLeft" state="frozen"/>
      <selection pane="bottomLeft" activeCell="A12" sqref="A12"/>
    </sheetView>
  </sheetViews>
  <sheetFormatPr defaultColWidth="8.85546875" defaultRowHeight="14.45"/>
  <cols>
    <col min="1" max="1" width="28.28515625" style="9" customWidth="1"/>
    <col min="2" max="2" width="18" style="9" customWidth="1"/>
    <col min="3" max="3" width="19" style="9" customWidth="1"/>
    <col min="4" max="4" width="19.7109375" style="9" customWidth="1"/>
    <col min="5" max="5" width="23" style="9" customWidth="1"/>
    <col min="6" max="6" width="15" style="9" customWidth="1"/>
    <col min="7" max="8" width="14" style="9" customWidth="1"/>
    <col min="9" max="9" width="26" style="9" customWidth="1"/>
    <col min="10" max="10" width="27" style="9" customWidth="1"/>
    <col min="11" max="11" width="38" style="9" customWidth="1"/>
    <col min="12" max="12" width="39" style="9" customWidth="1"/>
    <col min="13" max="13" width="32" style="9" customWidth="1"/>
    <col min="14" max="14" width="23" style="9" customWidth="1"/>
    <col min="15" max="15" width="35" style="9" customWidth="1"/>
    <col min="16" max="16" width="40" style="9" customWidth="1"/>
    <col min="17" max="17" width="38" style="9" customWidth="1"/>
    <col min="18" max="18" width="35" style="9" customWidth="1"/>
    <col min="19" max="19" width="29" style="9" customWidth="1"/>
    <col min="20" max="20" width="33" style="9" customWidth="1"/>
    <col min="21" max="21" width="36" style="9" customWidth="1"/>
    <col min="22" max="22" width="30" style="9" customWidth="1"/>
    <col min="23" max="23" width="25" style="9" customWidth="1"/>
    <col min="24" max="24" width="31" style="9" customWidth="1"/>
    <col min="25" max="25" width="30" style="9" customWidth="1"/>
    <col min="26" max="26" width="26" style="9" customWidth="1"/>
    <col min="27" max="27" width="31" style="9" customWidth="1"/>
    <col min="28" max="28" width="35" style="9" customWidth="1"/>
    <col min="29" max="29" width="23" style="9" customWidth="1"/>
    <col min="30" max="30" width="31" style="9" customWidth="1"/>
    <col min="31" max="31" width="29" style="9" customWidth="1"/>
    <col min="32" max="16384" width="8.85546875" style="9"/>
  </cols>
  <sheetData>
    <row r="1" spans="1:31" ht="30.75">
      <c r="A1" s="8" t="s">
        <v>43</v>
      </c>
      <c r="B1" s="8" t="s">
        <v>44</v>
      </c>
      <c r="C1" s="8" t="s">
        <v>45</v>
      </c>
      <c r="D1" s="8" t="s">
        <v>46</v>
      </c>
      <c r="E1" s="8" t="s">
        <v>47</v>
      </c>
      <c r="F1" s="8" t="s">
        <v>48</v>
      </c>
      <c r="G1" s="8" t="s">
        <v>49</v>
      </c>
      <c r="H1" s="8" t="s">
        <v>50</v>
      </c>
      <c r="I1" s="8" t="s">
        <v>51</v>
      </c>
      <c r="J1" s="8" t="s">
        <v>52</v>
      </c>
      <c r="K1" s="8" t="s">
        <v>53</v>
      </c>
      <c r="L1" s="8" t="s">
        <v>54</v>
      </c>
      <c r="M1" s="8" t="s">
        <v>55</v>
      </c>
      <c r="N1" s="8" t="s">
        <v>56</v>
      </c>
      <c r="O1" s="8" t="s">
        <v>57</v>
      </c>
      <c r="P1" s="8" t="s">
        <v>58</v>
      </c>
      <c r="Q1" s="8" t="s">
        <v>59</v>
      </c>
      <c r="R1" s="8" t="s">
        <v>60</v>
      </c>
      <c r="S1" s="8" t="s">
        <v>61</v>
      </c>
      <c r="T1" s="8" t="s">
        <v>62</v>
      </c>
      <c r="U1" s="8" t="s">
        <v>63</v>
      </c>
      <c r="V1" s="8" t="s">
        <v>64</v>
      </c>
      <c r="W1" s="8" t="s">
        <v>65</v>
      </c>
      <c r="X1" s="8" t="s">
        <v>66</v>
      </c>
      <c r="Y1" s="8" t="s">
        <v>67</v>
      </c>
      <c r="Z1" s="8" t="s">
        <v>68</v>
      </c>
      <c r="AA1" s="8" t="s">
        <v>69</v>
      </c>
      <c r="AB1" s="8" t="s">
        <v>70</v>
      </c>
      <c r="AC1" s="8" t="s">
        <v>71</v>
      </c>
      <c r="AD1" s="8" t="s">
        <v>72</v>
      </c>
      <c r="AE1" s="8" t="s">
        <v>73</v>
      </c>
    </row>
    <row r="2" spans="1:31" ht="24" customHeight="1">
      <c r="A2" s="7" t="s">
        <v>74</v>
      </c>
      <c r="B2" s="7" t="s">
        <v>75</v>
      </c>
      <c r="C2" s="46" t="s">
        <v>76</v>
      </c>
      <c r="D2" s="7">
        <v>9328229012</v>
      </c>
      <c r="E2" s="7" t="s">
        <v>77</v>
      </c>
      <c r="F2" s="7" t="s">
        <v>78</v>
      </c>
      <c r="G2" s="7" t="s">
        <v>79</v>
      </c>
      <c r="H2" s="7" t="s">
        <v>80</v>
      </c>
      <c r="I2" s="7" t="s">
        <v>81</v>
      </c>
      <c r="J2" s="7" t="s">
        <v>82</v>
      </c>
      <c r="K2" s="6" t="s">
        <v>83</v>
      </c>
      <c r="L2" s="6" t="s">
        <v>84</v>
      </c>
      <c r="M2" s="6" t="s">
        <v>85</v>
      </c>
      <c r="N2" s="47">
        <v>105</v>
      </c>
      <c r="O2" s="48">
        <v>18</v>
      </c>
      <c r="P2" s="49" t="s">
        <v>86</v>
      </c>
      <c r="Q2" s="7" t="s">
        <v>87</v>
      </c>
      <c r="R2" s="7" t="s">
        <v>88</v>
      </c>
      <c r="S2" s="7" t="s">
        <v>89</v>
      </c>
      <c r="T2" s="7">
        <v>75</v>
      </c>
      <c r="U2" s="7" t="s">
        <v>90</v>
      </c>
      <c r="V2" s="7" t="s">
        <v>90</v>
      </c>
      <c r="W2" s="7" t="s">
        <v>90</v>
      </c>
      <c r="X2" s="7" t="s">
        <v>90</v>
      </c>
      <c r="Y2" s="7"/>
      <c r="Z2" s="7" t="s">
        <v>91</v>
      </c>
      <c r="AA2" s="7" t="s">
        <v>92</v>
      </c>
      <c r="AB2" s="7" t="s">
        <v>91</v>
      </c>
      <c r="AC2" s="7" t="s">
        <v>91</v>
      </c>
      <c r="AD2" s="7" t="s">
        <v>92</v>
      </c>
      <c r="AE2" s="7" t="s">
        <v>92</v>
      </c>
    </row>
    <row r="3" spans="1:31" ht="27" customHeight="1">
      <c r="A3" s="7" t="s">
        <v>93</v>
      </c>
      <c r="B3" s="7" t="s">
        <v>94</v>
      </c>
      <c r="C3" s="46" t="s">
        <v>95</v>
      </c>
      <c r="D3" s="7">
        <v>9825083884</v>
      </c>
      <c r="E3" s="7" t="s">
        <v>96</v>
      </c>
      <c r="F3" s="7" t="s">
        <v>78</v>
      </c>
      <c r="G3" s="7" t="s">
        <v>97</v>
      </c>
      <c r="H3" s="7" t="s">
        <v>80</v>
      </c>
      <c r="I3" s="7" t="s">
        <v>98</v>
      </c>
      <c r="J3" s="7" t="s">
        <v>99</v>
      </c>
      <c r="K3" s="50" t="s">
        <v>100</v>
      </c>
      <c r="L3" s="6" t="s">
        <v>101</v>
      </c>
      <c r="M3" s="6" t="s">
        <v>102</v>
      </c>
      <c r="N3" s="47">
        <v>269</v>
      </c>
      <c r="O3" s="48">
        <v>295</v>
      </c>
      <c r="P3" s="49" t="s">
        <v>86</v>
      </c>
      <c r="Q3" s="6" t="s">
        <v>103</v>
      </c>
      <c r="R3" s="6" t="s">
        <v>104</v>
      </c>
      <c r="S3" s="6" t="s">
        <v>105</v>
      </c>
      <c r="T3" s="7">
        <v>100</v>
      </c>
      <c r="U3" s="7" t="s">
        <v>90</v>
      </c>
      <c r="V3" s="7" t="s">
        <v>90</v>
      </c>
      <c r="W3" s="7" t="s">
        <v>90</v>
      </c>
      <c r="X3" s="7" t="s">
        <v>90</v>
      </c>
      <c r="Y3" s="7"/>
      <c r="Z3" s="7" t="s">
        <v>91</v>
      </c>
      <c r="AA3" s="7" t="s">
        <v>92</v>
      </c>
      <c r="AB3" s="7" t="s">
        <v>91</v>
      </c>
      <c r="AC3" s="7" t="s">
        <v>91</v>
      </c>
      <c r="AD3" s="7" t="s">
        <v>92</v>
      </c>
      <c r="AE3" s="7" t="s">
        <v>92</v>
      </c>
    </row>
    <row r="4" spans="1:31" ht="60.75">
      <c r="A4" s="7" t="s">
        <v>106</v>
      </c>
      <c r="B4" s="7" t="s">
        <v>107</v>
      </c>
      <c r="C4" s="7" t="s">
        <v>108</v>
      </c>
      <c r="D4" s="7" t="s">
        <v>109</v>
      </c>
      <c r="E4" s="7" t="s">
        <v>110</v>
      </c>
      <c r="F4" s="7" t="s">
        <v>78</v>
      </c>
      <c r="G4" s="7" t="s">
        <v>111</v>
      </c>
      <c r="H4" s="7" t="s">
        <v>80</v>
      </c>
      <c r="I4" s="7" t="s">
        <v>98</v>
      </c>
      <c r="J4" s="7" t="s">
        <v>112</v>
      </c>
      <c r="K4" s="7" t="s">
        <v>113</v>
      </c>
      <c r="L4" s="7" t="s">
        <v>114</v>
      </c>
      <c r="M4" s="7" t="s">
        <v>115</v>
      </c>
      <c r="N4" s="51">
        <v>30</v>
      </c>
      <c r="O4" s="48">
        <v>15</v>
      </c>
      <c r="P4" s="49" t="s">
        <v>86</v>
      </c>
      <c r="Q4" s="7" t="s">
        <v>116</v>
      </c>
      <c r="R4" s="7" t="s">
        <v>117</v>
      </c>
      <c r="S4" s="6" t="s">
        <v>118</v>
      </c>
      <c r="T4" s="7">
        <v>100</v>
      </c>
      <c r="U4" s="7" t="s">
        <v>90</v>
      </c>
      <c r="V4" s="7" t="s">
        <v>90</v>
      </c>
      <c r="W4" s="7" t="s">
        <v>90</v>
      </c>
      <c r="X4" s="7" t="s">
        <v>90</v>
      </c>
      <c r="Y4" s="7"/>
      <c r="Z4" s="7" t="s">
        <v>91</v>
      </c>
      <c r="AA4" s="7" t="s">
        <v>92</v>
      </c>
      <c r="AB4" s="7" t="s">
        <v>91</v>
      </c>
      <c r="AC4" s="7" t="s">
        <v>91</v>
      </c>
      <c r="AD4" s="7" t="s">
        <v>92</v>
      </c>
      <c r="AE4" s="7" t="s">
        <v>92</v>
      </c>
    </row>
    <row r="5" spans="1:31" ht="121.5">
      <c r="A5" s="11" t="s">
        <v>119</v>
      </c>
      <c r="B5" s="7" t="s">
        <v>120</v>
      </c>
      <c r="C5" s="7" t="s">
        <v>121</v>
      </c>
      <c r="D5" s="7">
        <v>9909929966</v>
      </c>
      <c r="E5" s="7" t="s">
        <v>122</v>
      </c>
      <c r="F5" s="7" t="s">
        <v>78</v>
      </c>
      <c r="G5" s="7" t="s">
        <v>97</v>
      </c>
      <c r="H5" s="7" t="s">
        <v>80</v>
      </c>
      <c r="I5" s="7" t="s">
        <v>98</v>
      </c>
      <c r="J5" s="7" t="s">
        <v>123</v>
      </c>
      <c r="K5" s="7" t="s">
        <v>124</v>
      </c>
      <c r="L5" s="7" t="s">
        <v>125</v>
      </c>
      <c r="M5" s="7" t="s">
        <v>126</v>
      </c>
      <c r="N5" s="47">
        <v>110</v>
      </c>
      <c r="O5" s="48">
        <v>50</v>
      </c>
      <c r="P5" s="49" t="s">
        <v>127</v>
      </c>
      <c r="Q5" s="7" t="s">
        <v>128</v>
      </c>
      <c r="R5" s="7" t="s">
        <v>129</v>
      </c>
      <c r="S5" s="6" t="s">
        <v>130</v>
      </c>
      <c r="T5" s="7">
        <v>125</v>
      </c>
      <c r="U5" s="7" t="s">
        <v>90</v>
      </c>
      <c r="V5" s="7" t="s">
        <v>90</v>
      </c>
      <c r="W5" s="7" t="s">
        <v>90</v>
      </c>
      <c r="X5" s="7" t="s">
        <v>131</v>
      </c>
      <c r="Y5" s="7"/>
      <c r="Z5" s="7" t="s">
        <v>91</v>
      </c>
      <c r="AA5" s="7" t="s">
        <v>92</v>
      </c>
      <c r="AB5" s="7" t="s">
        <v>91</v>
      </c>
      <c r="AC5" s="7" t="s">
        <v>91</v>
      </c>
      <c r="AD5" s="7" t="s">
        <v>92</v>
      </c>
      <c r="AE5" s="7" t="s">
        <v>92</v>
      </c>
    </row>
    <row r="6" spans="1:31" ht="45.75">
      <c r="A6" s="52" t="s">
        <v>132</v>
      </c>
      <c r="B6" s="7" t="s">
        <v>133</v>
      </c>
      <c r="C6" s="7" t="s">
        <v>134</v>
      </c>
      <c r="D6" s="7"/>
      <c r="E6" s="7" t="s">
        <v>96</v>
      </c>
      <c r="F6" s="7" t="s">
        <v>135</v>
      </c>
      <c r="G6" s="7" t="s">
        <v>136</v>
      </c>
      <c r="H6" s="7" t="s">
        <v>137</v>
      </c>
      <c r="I6" s="7" t="s">
        <v>98</v>
      </c>
      <c r="J6" s="7" t="s">
        <v>138</v>
      </c>
      <c r="K6" s="7" t="s">
        <v>139</v>
      </c>
      <c r="L6" s="7" t="s">
        <v>140</v>
      </c>
      <c r="M6" s="7" t="s">
        <v>141</v>
      </c>
      <c r="N6" s="47">
        <v>180</v>
      </c>
      <c r="O6" s="48">
        <v>53</v>
      </c>
      <c r="P6" s="49" t="s">
        <v>142</v>
      </c>
      <c r="Q6" s="7" t="s">
        <v>143</v>
      </c>
      <c r="R6" s="7" t="s">
        <v>144</v>
      </c>
      <c r="S6" s="7" t="s">
        <v>145</v>
      </c>
      <c r="T6" s="7">
        <v>200</v>
      </c>
      <c r="U6" s="7" t="s">
        <v>90</v>
      </c>
      <c r="V6" s="7" t="s">
        <v>90</v>
      </c>
      <c r="W6" s="7" t="s">
        <v>90</v>
      </c>
      <c r="X6" s="7" t="s">
        <v>90</v>
      </c>
      <c r="Y6" s="7"/>
      <c r="Z6" s="7" t="s">
        <v>91</v>
      </c>
      <c r="AA6" s="7" t="s">
        <v>92</v>
      </c>
      <c r="AB6" s="7" t="s">
        <v>91</v>
      </c>
      <c r="AC6" s="7" t="s">
        <v>91</v>
      </c>
      <c r="AD6" s="7" t="s">
        <v>92</v>
      </c>
      <c r="AE6" s="7" t="s">
        <v>92</v>
      </c>
    </row>
    <row r="7" spans="1:31" ht="76.5">
      <c r="A7" s="53" t="s">
        <v>146</v>
      </c>
      <c r="B7" s="7" t="s">
        <v>147</v>
      </c>
      <c r="C7" s="7" t="s">
        <v>148</v>
      </c>
      <c r="D7" s="7">
        <v>9923126429</v>
      </c>
      <c r="E7" s="7" t="s">
        <v>149</v>
      </c>
      <c r="F7" s="7" t="s">
        <v>150</v>
      </c>
      <c r="G7" s="7" t="s">
        <v>151</v>
      </c>
      <c r="H7" s="7" t="s">
        <v>152</v>
      </c>
      <c r="I7" s="7" t="s">
        <v>98</v>
      </c>
      <c r="J7" s="7" t="s">
        <v>153</v>
      </c>
      <c r="K7" s="7" t="s">
        <v>154</v>
      </c>
      <c r="L7" s="7" t="s">
        <v>155</v>
      </c>
      <c r="M7" s="7" t="s">
        <v>156</v>
      </c>
      <c r="N7" s="47">
        <v>200</v>
      </c>
      <c r="O7" s="48">
        <v>47.62</v>
      </c>
      <c r="P7" s="49" t="s">
        <v>142</v>
      </c>
      <c r="Q7" s="7" t="s">
        <v>157</v>
      </c>
      <c r="R7" s="7" t="s">
        <v>158</v>
      </c>
      <c r="S7" s="7" t="s">
        <v>159</v>
      </c>
      <c r="T7" s="7">
        <v>104</v>
      </c>
      <c r="U7" s="7" t="s">
        <v>90</v>
      </c>
      <c r="V7" s="7" t="s">
        <v>90</v>
      </c>
      <c r="W7" s="7" t="s">
        <v>90</v>
      </c>
      <c r="X7" s="7" t="s">
        <v>90</v>
      </c>
      <c r="Y7" s="7"/>
      <c r="Z7" s="7" t="s">
        <v>91</v>
      </c>
      <c r="AA7" s="7" t="s">
        <v>92</v>
      </c>
      <c r="AB7" s="7" t="s">
        <v>91</v>
      </c>
      <c r="AC7" s="7" t="s">
        <v>91</v>
      </c>
      <c r="AD7" s="7" t="s">
        <v>92</v>
      </c>
      <c r="AE7" s="7" t="s">
        <v>92</v>
      </c>
    </row>
    <row r="8" spans="1:31" ht="137.25">
      <c r="A8" s="53" t="s">
        <v>160</v>
      </c>
      <c r="B8" s="12" t="s">
        <v>161</v>
      </c>
      <c r="C8" s="13" t="s">
        <v>162</v>
      </c>
      <c r="D8" s="12">
        <v>9840323337</v>
      </c>
      <c r="E8" s="7" t="s">
        <v>163</v>
      </c>
      <c r="F8" s="7" t="s">
        <v>164</v>
      </c>
      <c r="G8" s="12" t="s">
        <v>165</v>
      </c>
      <c r="H8" s="7" t="s">
        <v>137</v>
      </c>
      <c r="I8" s="7" t="s">
        <v>98</v>
      </c>
      <c r="J8" s="7" t="s">
        <v>166</v>
      </c>
      <c r="K8" s="7" t="s">
        <v>167</v>
      </c>
      <c r="L8" s="7" t="s">
        <v>168</v>
      </c>
      <c r="M8" s="7" t="s">
        <v>169</v>
      </c>
      <c r="N8" s="47">
        <v>80</v>
      </c>
      <c r="O8" s="48">
        <v>70</v>
      </c>
      <c r="P8" s="49" t="s">
        <v>86</v>
      </c>
      <c r="Q8" s="7" t="s">
        <v>170</v>
      </c>
      <c r="R8" s="7" t="s">
        <v>171</v>
      </c>
      <c r="S8" s="7" t="s">
        <v>172</v>
      </c>
      <c r="T8" s="7">
        <v>500</v>
      </c>
      <c r="U8" s="7" t="s">
        <v>90</v>
      </c>
      <c r="V8" s="7" t="s">
        <v>90</v>
      </c>
      <c r="W8" s="7" t="s">
        <v>90</v>
      </c>
      <c r="X8" s="7" t="s">
        <v>173</v>
      </c>
      <c r="Y8" s="7"/>
      <c r="Z8" s="7" t="s">
        <v>91</v>
      </c>
      <c r="AA8" s="7" t="s">
        <v>92</v>
      </c>
      <c r="AB8" s="7" t="s">
        <v>91</v>
      </c>
      <c r="AC8" s="7" t="s">
        <v>91</v>
      </c>
      <c r="AD8" s="7" t="s">
        <v>92</v>
      </c>
      <c r="AE8" s="7" t="s">
        <v>92</v>
      </c>
    </row>
    <row r="9" spans="1:31" ht="106.5">
      <c r="A9" s="11" t="s">
        <v>174</v>
      </c>
      <c r="B9" s="7" t="s">
        <v>175</v>
      </c>
      <c r="C9" s="13" t="s">
        <v>176</v>
      </c>
      <c r="D9" s="7">
        <v>9487915784</v>
      </c>
      <c r="E9" s="7" t="s">
        <v>177</v>
      </c>
      <c r="F9" s="7" t="s">
        <v>178</v>
      </c>
      <c r="G9" s="12" t="s">
        <v>136</v>
      </c>
      <c r="H9" s="7" t="s">
        <v>137</v>
      </c>
      <c r="I9" s="7" t="s">
        <v>98</v>
      </c>
      <c r="J9" s="7" t="s">
        <v>179</v>
      </c>
      <c r="K9" s="7" t="s">
        <v>180</v>
      </c>
      <c r="L9" s="7" t="s">
        <v>181</v>
      </c>
      <c r="M9" s="7" t="s">
        <v>182</v>
      </c>
      <c r="N9" s="47">
        <v>350</v>
      </c>
      <c r="O9" s="48">
        <v>93.4</v>
      </c>
      <c r="P9" s="49" t="s">
        <v>142</v>
      </c>
      <c r="Q9" s="7" t="s">
        <v>183</v>
      </c>
      <c r="R9" s="7" t="s">
        <v>184</v>
      </c>
      <c r="S9" s="7" t="s">
        <v>185</v>
      </c>
      <c r="T9" s="7">
        <v>280</v>
      </c>
      <c r="U9" s="7" t="s">
        <v>90</v>
      </c>
      <c r="V9" s="7" t="s">
        <v>90</v>
      </c>
      <c r="W9" s="7" t="s">
        <v>90</v>
      </c>
      <c r="X9" s="7" t="s">
        <v>186</v>
      </c>
      <c r="Y9" s="7"/>
      <c r="Z9" s="7" t="s">
        <v>91</v>
      </c>
      <c r="AA9" s="7" t="s">
        <v>92</v>
      </c>
      <c r="AB9" s="7" t="s">
        <v>91</v>
      </c>
      <c r="AC9" s="7" t="s">
        <v>91</v>
      </c>
      <c r="AD9" s="7" t="s">
        <v>92</v>
      </c>
      <c r="AE9" s="7" t="s">
        <v>92</v>
      </c>
    </row>
    <row r="10" spans="1:31" ht="60.75">
      <c r="A10" s="52" t="s">
        <v>187</v>
      </c>
      <c r="B10" s="7" t="s">
        <v>188</v>
      </c>
      <c r="C10" s="7" t="s">
        <v>189</v>
      </c>
      <c r="D10" s="7">
        <v>9664761176</v>
      </c>
      <c r="E10" s="7" t="s">
        <v>110</v>
      </c>
      <c r="F10" s="7" t="s">
        <v>78</v>
      </c>
      <c r="G10" s="11" t="s">
        <v>190</v>
      </c>
      <c r="H10" s="7" t="s">
        <v>80</v>
      </c>
      <c r="I10" s="7" t="s">
        <v>191</v>
      </c>
      <c r="J10" s="54" t="s">
        <v>192</v>
      </c>
      <c r="K10" s="7" t="e" vm="1">
        <f>_xlfn.XLOOKUP(A10,'[1]Portfolio Dashboard'!$B:$B,'[1]Portfolio Dashboard'!$E:$E,_xleta.NA,0,1)</f>
        <v>#VALUE!</v>
      </c>
      <c r="L10" s="7" t="s">
        <v>193</v>
      </c>
      <c r="M10" s="7" t="s">
        <v>194</v>
      </c>
      <c r="N10" s="47">
        <v>18</v>
      </c>
      <c r="O10" s="48">
        <v>90</v>
      </c>
      <c r="P10" s="49" t="s">
        <v>142</v>
      </c>
      <c r="Q10" s="7" t="s">
        <v>195</v>
      </c>
      <c r="R10" s="7" t="s">
        <v>196</v>
      </c>
      <c r="S10" s="7" t="s">
        <v>197</v>
      </c>
      <c r="T10" s="7">
        <v>150</v>
      </c>
      <c r="U10" s="7" t="s">
        <v>90</v>
      </c>
      <c r="V10" s="7" t="s">
        <v>90</v>
      </c>
      <c r="W10" s="7" t="s">
        <v>90</v>
      </c>
      <c r="X10" s="7" t="s">
        <v>90</v>
      </c>
      <c r="Y10" s="7"/>
      <c r="Z10" s="7" t="s">
        <v>91</v>
      </c>
      <c r="AA10" s="7" t="s">
        <v>92</v>
      </c>
      <c r="AB10" s="7" t="s">
        <v>91</v>
      </c>
      <c r="AC10" s="7" t="s">
        <v>91</v>
      </c>
      <c r="AD10" s="7" t="s">
        <v>92</v>
      </c>
      <c r="AE10" s="7" t="s">
        <v>92</v>
      </c>
    </row>
    <row r="11" spans="1:31" ht="45.75">
      <c r="A11" s="55" t="s">
        <v>198</v>
      </c>
      <c r="B11" s="7" t="s">
        <v>199</v>
      </c>
      <c r="C11" s="13" t="s">
        <v>200</v>
      </c>
      <c r="D11" s="7">
        <v>9890273970</v>
      </c>
      <c r="E11" s="7" t="s">
        <v>149</v>
      </c>
      <c r="F11" s="7" t="s">
        <v>201</v>
      </c>
      <c r="G11" s="11" t="s">
        <v>151</v>
      </c>
      <c r="H11" s="7" t="s">
        <v>152</v>
      </c>
      <c r="I11" s="7" t="s">
        <v>98</v>
      </c>
      <c r="J11" s="7" t="s">
        <v>202</v>
      </c>
      <c r="K11" s="7" t="s">
        <v>203</v>
      </c>
      <c r="L11" s="7" t="s">
        <v>204</v>
      </c>
      <c r="M11" s="7" t="s">
        <v>205</v>
      </c>
      <c r="N11" s="47">
        <v>85</v>
      </c>
      <c r="O11" s="48">
        <v>38</v>
      </c>
      <c r="P11" s="49" t="s">
        <v>142</v>
      </c>
      <c r="Q11" s="7" t="s">
        <v>206</v>
      </c>
      <c r="R11" s="7" t="s">
        <v>207</v>
      </c>
      <c r="S11" s="7" t="s">
        <v>208</v>
      </c>
      <c r="T11" s="7">
        <v>125</v>
      </c>
      <c r="U11" s="7" t="s">
        <v>90</v>
      </c>
      <c r="V11" s="7" t="s">
        <v>90</v>
      </c>
      <c r="W11" s="7" t="s">
        <v>90</v>
      </c>
      <c r="X11" s="7" t="s">
        <v>90</v>
      </c>
      <c r="Y11" s="7"/>
      <c r="Z11" s="7" t="s">
        <v>91</v>
      </c>
      <c r="AA11" s="7" t="s">
        <v>92</v>
      </c>
      <c r="AB11" s="7" t="s">
        <v>91</v>
      </c>
      <c r="AC11" s="7" t="s">
        <v>91</v>
      </c>
      <c r="AD11" s="7" t="s">
        <v>92</v>
      </c>
      <c r="AE11" s="7" t="s">
        <v>92</v>
      </c>
    </row>
    <row r="12" spans="1:31" ht="45.75">
      <c r="A12" s="56" t="s">
        <v>209</v>
      </c>
      <c r="B12" s="57" t="s">
        <v>210</v>
      </c>
      <c r="C12" s="58" t="s">
        <v>211</v>
      </c>
      <c r="D12" s="7">
        <v>8128103106</v>
      </c>
      <c r="E12" s="57" t="s">
        <v>96</v>
      </c>
      <c r="F12" s="57" t="s">
        <v>212</v>
      </c>
      <c r="G12" s="57" t="s">
        <v>79</v>
      </c>
      <c r="H12" s="57" t="s">
        <v>80</v>
      </c>
      <c r="I12" s="57" t="s">
        <v>213</v>
      </c>
      <c r="J12" s="57" t="s">
        <v>214</v>
      </c>
      <c r="K12" s="57" t="s">
        <v>215</v>
      </c>
      <c r="L12" s="57" t="s">
        <v>216</v>
      </c>
      <c r="M12" s="57" t="s">
        <v>217</v>
      </c>
      <c r="N12" s="59">
        <v>20</v>
      </c>
      <c r="O12" s="60">
        <v>22</v>
      </c>
      <c r="P12" s="57" t="s">
        <v>218</v>
      </c>
      <c r="Q12" s="57" t="s">
        <v>219</v>
      </c>
      <c r="R12" s="57" t="s">
        <v>220</v>
      </c>
      <c r="S12" s="57" t="s">
        <v>221</v>
      </c>
      <c r="T12" s="57">
        <v>31</v>
      </c>
      <c r="U12" s="57" t="s">
        <v>90</v>
      </c>
      <c r="V12" s="57" t="s">
        <v>90</v>
      </c>
      <c r="W12" s="57" t="s">
        <v>90</v>
      </c>
      <c r="X12" s="57" t="s">
        <v>90</v>
      </c>
      <c r="Y12" s="5"/>
      <c r="Z12" s="62" t="s">
        <v>91</v>
      </c>
      <c r="AA12" s="63" t="s">
        <v>92</v>
      </c>
      <c r="AB12" s="63" t="s">
        <v>91</v>
      </c>
      <c r="AC12" s="63" t="s">
        <v>91</v>
      </c>
      <c r="AD12" s="63" t="s">
        <v>92</v>
      </c>
      <c r="AE12" s="63" t="s">
        <v>92</v>
      </c>
    </row>
    <row r="13" spans="1:3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ht="15"/>
    <row r="21" spans="1:31" ht="15"/>
  </sheetData>
  <autoFilter ref="A1:AE1" xr:uid="{00000000-0009-0000-0000-000001000000}"/>
  <dataValidations count="2">
    <dataValidation type="list" allowBlank="1" errorTitle="Invalid Status" error="Please select a valid stream status" sqref="Z2:AE11 Z13:AE98" xr:uid="{00000000-0002-0000-0100-000000000000}">
      <formula1>"Not started,On track,Need some advice,Need deep support,Completed"</formula1>
    </dataValidation>
    <dataValidation type="list" allowBlank="1" sqref="P2:P11 P13:P98" xr:uid="{00000000-0002-0000-0100-000001000000}">
      <formula1>"product,segment,geography,product; segment,product; geography,segment; geography,product; segment; geography"</formula1>
    </dataValidation>
  </dataValidations>
  <hyperlinks>
    <hyperlink ref="C2" r:id="rId1" xr:uid="{DA83A8AB-C610-4490-8800-15FF38B05ED9}"/>
    <hyperlink ref="C3" r:id="rId2" xr:uid="{A656B038-0D09-449F-BB2A-E3D04ACB4A39}"/>
    <hyperlink ref="C8" r:id="rId3" xr:uid="{80441CC4-3913-4571-8553-E7BAF1880755}"/>
    <hyperlink ref="C9" r:id="rId4" xr:uid="{05152666-740D-402A-8C30-D55C3309616C}"/>
    <hyperlink ref="C11" r:id="rId5" xr:uid="{2A4F124D-0217-46D6-95CF-619B3C42A561}"/>
    <hyperlink ref="C12" r:id="rId6" xr:uid="{3ECC7861-FD0F-4C67-A4F7-3F7B15B1E2D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2"/>
  <sheetViews>
    <sheetView tabSelected="1" workbookViewId="0">
      <pane ySplit="1" topLeftCell="A9" activePane="bottomLeft" state="frozen"/>
      <selection pane="bottomLeft" activeCell="A3" sqref="A3"/>
      <selection activeCell="I1" sqref="I1"/>
    </sheetView>
  </sheetViews>
  <sheetFormatPr defaultColWidth="8.85546875" defaultRowHeight="15" customHeight="1"/>
  <cols>
    <col min="1" max="1" width="18" style="9" customWidth="1"/>
    <col min="2" max="2" width="28" style="9" customWidth="1"/>
    <col min="3" max="3" width="29" style="9" customWidth="1"/>
    <col min="4" max="4" width="20" style="9" customWidth="1"/>
    <col min="5" max="5" width="38" style="9" customWidth="1"/>
    <col min="6" max="6" width="28" style="9" customWidth="1"/>
    <col min="7" max="7" width="43" style="9" customWidth="1"/>
    <col min="8" max="8" width="23" style="9" customWidth="1"/>
    <col min="9" max="9" width="30" style="9" customWidth="1"/>
    <col min="10" max="10" width="45" style="9" customWidth="1"/>
    <col min="11" max="11" width="25" style="9" customWidth="1"/>
    <col min="12" max="12" width="31" style="9" customWidth="1"/>
    <col min="13" max="13" width="45" style="9" customWidth="1"/>
    <col min="14" max="14" width="26" style="9" customWidth="1"/>
    <col min="15" max="15" width="32" style="9" customWidth="1"/>
    <col min="16" max="16" width="45" style="9" customWidth="1"/>
    <col min="17" max="17" width="27" style="9" customWidth="1"/>
    <col min="18" max="18" width="34" style="9" customWidth="1"/>
    <col min="19" max="19" width="45" style="9" customWidth="1"/>
    <col min="20" max="20" width="29" style="9" customWidth="1"/>
    <col min="21" max="23" width="45" style="9" customWidth="1"/>
    <col min="24" max="24" width="39" style="9" customWidth="1"/>
    <col min="25" max="25" width="45" style="9" customWidth="1"/>
    <col min="26" max="26" width="34" style="9" customWidth="1"/>
    <col min="27" max="27" width="18" style="9" customWidth="1"/>
    <col min="28" max="28" width="25" style="9" customWidth="1"/>
    <col min="29" max="29" width="21" style="9" customWidth="1"/>
    <col min="30" max="30" width="27" style="9" customWidth="1"/>
    <col min="31" max="16384" width="8.85546875" style="9"/>
  </cols>
  <sheetData>
    <row r="1" spans="1:30" ht="30.75">
      <c r="A1" s="39" t="s">
        <v>43</v>
      </c>
      <c r="B1" s="39" t="s">
        <v>222</v>
      </c>
      <c r="C1" s="39" t="s">
        <v>223</v>
      </c>
      <c r="D1" s="39" t="s">
        <v>224</v>
      </c>
      <c r="E1" s="39" t="s">
        <v>225</v>
      </c>
      <c r="F1" s="40" t="s">
        <v>226</v>
      </c>
      <c r="G1" s="40" t="s">
        <v>227</v>
      </c>
      <c r="H1" s="40" t="s">
        <v>228</v>
      </c>
      <c r="I1" s="40" t="s">
        <v>229</v>
      </c>
      <c r="J1" s="40" t="s">
        <v>230</v>
      </c>
      <c r="K1" s="40" t="s">
        <v>231</v>
      </c>
      <c r="L1" s="40" t="s">
        <v>232</v>
      </c>
      <c r="M1" s="40" t="s">
        <v>233</v>
      </c>
      <c r="N1" s="40" t="s">
        <v>234</v>
      </c>
      <c r="O1" s="40" t="s">
        <v>235</v>
      </c>
      <c r="P1" s="40" t="s">
        <v>236</v>
      </c>
      <c r="Q1" s="40" t="s">
        <v>237</v>
      </c>
      <c r="R1" s="40" t="s">
        <v>238</v>
      </c>
      <c r="S1" s="40" t="s">
        <v>239</v>
      </c>
      <c r="T1" s="40" t="s">
        <v>240</v>
      </c>
      <c r="U1" s="40" t="s">
        <v>241</v>
      </c>
      <c r="V1" s="40" t="s">
        <v>242</v>
      </c>
      <c r="W1" s="40" t="s">
        <v>243</v>
      </c>
      <c r="X1" s="40" t="s">
        <v>244</v>
      </c>
      <c r="Y1" s="40" t="s">
        <v>245</v>
      </c>
      <c r="Z1" s="40" t="s">
        <v>246</v>
      </c>
      <c r="AA1" s="39" t="s">
        <v>247</v>
      </c>
      <c r="AB1" s="39" t="s">
        <v>248</v>
      </c>
      <c r="AC1" s="39" t="s">
        <v>249</v>
      </c>
      <c r="AD1" s="39" t="s">
        <v>250</v>
      </c>
    </row>
    <row r="2" spans="1:30" ht="106.5">
      <c r="A2" s="7" t="s">
        <v>251</v>
      </c>
      <c r="B2" s="7" t="s">
        <v>252</v>
      </c>
      <c r="C2" s="37" t="s">
        <v>253</v>
      </c>
      <c r="D2" s="38">
        <v>45819</v>
      </c>
      <c r="E2" s="7" t="s">
        <v>254</v>
      </c>
      <c r="F2" s="7" t="s">
        <v>255</v>
      </c>
      <c r="G2" s="7" t="s">
        <v>256</v>
      </c>
      <c r="H2" s="7" t="s">
        <v>257</v>
      </c>
      <c r="I2" s="7" t="s">
        <v>258</v>
      </c>
      <c r="J2" s="7" t="s">
        <v>256</v>
      </c>
      <c r="K2" s="7" t="s">
        <v>259</v>
      </c>
      <c r="L2" s="7"/>
      <c r="M2" s="7" t="s">
        <v>256</v>
      </c>
      <c r="N2" s="7"/>
      <c r="O2" s="7" t="s">
        <v>260</v>
      </c>
      <c r="P2" s="7" t="s">
        <v>256</v>
      </c>
      <c r="Q2" s="7" t="s">
        <v>261</v>
      </c>
      <c r="R2" s="7" t="s">
        <v>262</v>
      </c>
      <c r="S2" s="7" t="s">
        <v>256</v>
      </c>
      <c r="T2" s="7" t="s">
        <v>263</v>
      </c>
      <c r="U2" s="7"/>
      <c r="V2" s="7" t="s">
        <v>256</v>
      </c>
      <c r="W2" s="7" t="s">
        <v>264</v>
      </c>
      <c r="X2" s="7" t="s">
        <v>265</v>
      </c>
      <c r="Y2" s="7" t="s">
        <v>256</v>
      </c>
      <c r="Z2" s="7" t="s">
        <v>266</v>
      </c>
      <c r="AA2" s="7"/>
      <c r="AB2" s="41" t="s">
        <v>267</v>
      </c>
      <c r="AC2" s="42" t="s">
        <v>268</v>
      </c>
      <c r="AD2" s="7" t="s">
        <v>269</v>
      </c>
    </row>
    <row r="3" spans="1:30" ht="106.5">
      <c r="A3" s="7" t="s">
        <v>270</v>
      </c>
      <c r="B3" s="7" t="s">
        <v>252</v>
      </c>
      <c r="C3" s="37" t="s">
        <v>253</v>
      </c>
      <c r="D3" s="38">
        <v>45853</v>
      </c>
      <c r="E3" s="7" t="s">
        <v>90</v>
      </c>
      <c r="F3" s="7" t="s">
        <v>90</v>
      </c>
      <c r="G3" s="7" t="s">
        <v>256</v>
      </c>
      <c r="H3" s="7" t="s">
        <v>271</v>
      </c>
      <c r="I3" s="7" t="s">
        <v>90</v>
      </c>
      <c r="J3" s="7" t="s">
        <v>256</v>
      </c>
      <c r="K3" s="7" t="s">
        <v>272</v>
      </c>
      <c r="L3" s="7" t="s">
        <v>90</v>
      </c>
      <c r="M3" s="7" t="s">
        <v>256</v>
      </c>
      <c r="N3" s="7" t="s">
        <v>273</v>
      </c>
      <c r="O3" s="7" t="s">
        <v>90</v>
      </c>
      <c r="P3" s="7" t="s">
        <v>256</v>
      </c>
      <c r="Q3" s="7" t="s">
        <v>274</v>
      </c>
      <c r="R3" s="7" t="s">
        <v>90</v>
      </c>
      <c r="S3" s="7" t="s">
        <v>256</v>
      </c>
      <c r="T3" s="7" t="s">
        <v>275</v>
      </c>
      <c r="U3" s="7" t="s">
        <v>90</v>
      </c>
      <c r="V3" s="7" t="s">
        <v>256</v>
      </c>
      <c r="W3" s="7" t="s">
        <v>276</v>
      </c>
      <c r="X3" s="7" t="s">
        <v>90</v>
      </c>
      <c r="Y3" s="7" t="s">
        <v>256</v>
      </c>
      <c r="Z3" s="7" t="s">
        <v>277</v>
      </c>
      <c r="AA3" s="7" t="s">
        <v>278</v>
      </c>
      <c r="AB3" s="41" t="s">
        <v>267</v>
      </c>
      <c r="AC3" s="42" t="s">
        <v>268</v>
      </c>
      <c r="AD3" s="7" t="s">
        <v>269</v>
      </c>
    </row>
    <row r="4" spans="1:30" ht="106.5">
      <c r="A4" s="7" t="s">
        <v>279</v>
      </c>
      <c r="B4" s="7" t="s">
        <v>252</v>
      </c>
      <c r="C4" s="37" t="s">
        <v>253</v>
      </c>
      <c r="D4" s="38">
        <v>45857</v>
      </c>
      <c r="E4" s="7" t="s">
        <v>90</v>
      </c>
      <c r="F4" s="7" t="s">
        <v>90</v>
      </c>
      <c r="G4" s="7" t="s">
        <v>256</v>
      </c>
      <c r="H4" s="7" t="s">
        <v>280</v>
      </c>
      <c r="I4" s="7" t="s">
        <v>90</v>
      </c>
      <c r="J4" s="7" t="s">
        <v>256</v>
      </c>
      <c r="K4" s="7" t="s">
        <v>281</v>
      </c>
      <c r="L4" s="7" t="s">
        <v>90</v>
      </c>
      <c r="M4" s="7" t="s">
        <v>256</v>
      </c>
      <c r="N4" s="7" t="s">
        <v>90</v>
      </c>
      <c r="O4" s="7" t="s">
        <v>90</v>
      </c>
      <c r="P4" s="7" t="s">
        <v>256</v>
      </c>
      <c r="Q4" s="7" t="s">
        <v>282</v>
      </c>
      <c r="R4" s="7" t="s">
        <v>90</v>
      </c>
      <c r="S4" s="7" t="s">
        <v>256</v>
      </c>
      <c r="T4" s="7" t="s">
        <v>90</v>
      </c>
      <c r="U4" s="7" t="s">
        <v>90</v>
      </c>
      <c r="V4" s="7" t="s">
        <v>256</v>
      </c>
      <c r="W4" s="7" t="s">
        <v>90</v>
      </c>
      <c r="X4" s="7" t="s">
        <v>90</v>
      </c>
      <c r="Y4" s="7" t="s">
        <v>256</v>
      </c>
      <c r="Z4" s="7" t="s">
        <v>283</v>
      </c>
      <c r="AA4" s="7" t="s">
        <v>284</v>
      </c>
      <c r="AB4" s="41" t="s">
        <v>267</v>
      </c>
      <c r="AC4" s="42" t="s">
        <v>268</v>
      </c>
      <c r="AD4" s="7" t="s">
        <v>269</v>
      </c>
    </row>
    <row r="5" spans="1:30" ht="213">
      <c r="A5" s="7" t="s">
        <v>285</v>
      </c>
      <c r="B5" s="7" t="s">
        <v>252</v>
      </c>
      <c r="C5" s="37" t="s">
        <v>253</v>
      </c>
      <c r="D5" s="38">
        <v>45895</v>
      </c>
      <c r="E5" s="7" t="s">
        <v>286</v>
      </c>
      <c r="F5" s="7" t="s">
        <v>287</v>
      </c>
      <c r="G5" s="7" t="s">
        <v>256</v>
      </c>
      <c r="H5" s="7" t="s">
        <v>288</v>
      </c>
      <c r="I5" s="7" t="s">
        <v>289</v>
      </c>
      <c r="J5" s="7" t="s">
        <v>256</v>
      </c>
      <c r="K5" s="7" t="s">
        <v>290</v>
      </c>
      <c r="L5" s="7" t="s">
        <v>291</v>
      </c>
      <c r="M5" s="7" t="s">
        <v>256</v>
      </c>
      <c r="N5" s="7" t="s">
        <v>292</v>
      </c>
      <c r="O5" s="7" t="s">
        <v>293</v>
      </c>
      <c r="P5" s="7" t="s">
        <v>256</v>
      </c>
      <c r="Q5" s="7" t="s">
        <v>294</v>
      </c>
      <c r="R5" s="7" t="s">
        <v>295</v>
      </c>
      <c r="S5" s="7" t="s">
        <v>256</v>
      </c>
      <c r="T5" s="7" t="s">
        <v>296</v>
      </c>
      <c r="U5" s="7" t="s">
        <v>297</v>
      </c>
      <c r="V5" s="7" t="s">
        <v>256</v>
      </c>
      <c r="W5" s="7" t="s">
        <v>298</v>
      </c>
      <c r="X5" s="7" t="s">
        <v>299</v>
      </c>
      <c r="Y5" s="7" t="s">
        <v>256</v>
      </c>
      <c r="Z5" s="7" t="s">
        <v>300</v>
      </c>
      <c r="AA5" s="7" t="s">
        <v>301</v>
      </c>
      <c r="AB5" s="41" t="s">
        <v>267</v>
      </c>
      <c r="AC5" s="42" t="s">
        <v>268</v>
      </c>
      <c r="AD5" s="7" t="s">
        <v>302</v>
      </c>
    </row>
    <row r="6" spans="1:30" ht="106.5">
      <c r="A6" s="7" t="s">
        <v>303</v>
      </c>
      <c r="B6" s="7" t="s">
        <v>252</v>
      </c>
      <c r="C6" s="37" t="s">
        <v>253</v>
      </c>
      <c r="D6" s="38">
        <v>45904</v>
      </c>
      <c r="E6" s="7" t="s">
        <v>90</v>
      </c>
      <c r="F6" s="7" t="s">
        <v>304</v>
      </c>
      <c r="G6" s="7" t="s">
        <v>305</v>
      </c>
      <c r="H6" s="7" t="s">
        <v>306</v>
      </c>
      <c r="I6" s="7" t="s">
        <v>307</v>
      </c>
      <c r="J6" s="7" t="s">
        <v>305</v>
      </c>
      <c r="K6" s="7" t="s">
        <v>308</v>
      </c>
      <c r="L6" s="7" t="s">
        <v>309</v>
      </c>
      <c r="M6" s="7" t="s">
        <v>256</v>
      </c>
      <c r="N6" s="7" t="s">
        <v>310</v>
      </c>
      <c r="O6" s="7" t="s">
        <v>311</v>
      </c>
      <c r="P6" s="7" t="s">
        <v>305</v>
      </c>
      <c r="Q6" s="7" t="s">
        <v>312</v>
      </c>
      <c r="R6" s="7" t="s">
        <v>313</v>
      </c>
      <c r="S6" s="7" t="s">
        <v>256</v>
      </c>
      <c r="T6" s="7" t="s">
        <v>314</v>
      </c>
      <c r="U6" s="7" t="s">
        <v>315</v>
      </c>
      <c r="V6" s="7" t="s">
        <v>316</v>
      </c>
      <c r="W6" s="7" t="s">
        <v>317</v>
      </c>
      <c r="X6" s="7" t="s">
        <v>318</v>
      </c>
      <c r="Y6" s="7" t="s">
        <v>305</v>
      </c>
      <c r="Z6" s="7" t="s">
        <v>319</v>
      </c>
      <c r="AA6" s="7" t="s">
        <v>90</v>
      </c>
      <c r="AB6" s="41" t="s">
        <v>320</v>
      </c>
      <c r="AC6" s="25" t="s">
        <v>268</v>
      </c>
      <c r="AD6" s="7" t="s">
        <v>269</v>
      </c>
    </row>
    <row r="7" spans="1:30" ht="30.75">
      <c r="A7" s="7" t="s">
        <v>321</v>
      </c>
      <c r="B7" s="7" t="s">
        <v>252</v>
      </c>
      <c r="C7" s="37" t="s">
        <v>253</v>
      </c>
      <c r="D7" s="38"/>
      <c r="E7" s="7"/>
      <c r="F7" s="7"/>
      <c r="G7" s="7" t="s">
        <v>256</v>
      </c>
      <c r="H7" s="7"/>
      <c r="I7" s="7"/>
      <c r="J7" s="7" t="s">
        <v>256</v>
      </c>
      <c r="K7" s="7"/>
      <c r="L7" s="7"/>
      <c r="M7" s="7" t="s">
        <v>256</v>
      </c>
      <c r="N7" s="7"/>
      <c r="O7" s="7"/>
      <c r="P7" s="7" t="s">
        <v>256</v>
      </c>
      <c r="Q7" s="7"/>
      <c r="R7" s="7"/>
      <c r="S7" s="7" t="s">
        <v>256</v>
      </c>
      <c r="T7" s="7"/>
      <c r="U7" s="7"/>
      <c r="V7" s="7" t="s">
        <v>256</v>
      </c>
      <c r="W7" s="7"/>
      <c r="X7" s="7"/>
      <c r="Y7" s="7" t="s">
        <v>256</v>
      </c>
      <c r="Z7" s="7"/>
      <c r="AA7" s="7"/>
      <c r="AB7" s="41" t="s">
        <v>267</v>
      </c>
      <c r="AC7" s="42" t="s">
        <v>322</v>
      </c>
      <c r="AD7" s="7" t="s">
        <v>269</v>
      </c>
    </row>
    <row r="8" spans="1:30" ht="91.5">
      <c r="A8" s="7" t="s">
        <v>323</v>
      </c>
      <c r="B8" s="7" t="s">
        <v>252</v>
      </c>
      <c r="C8" s="37" t="s">
        <v>253</v>
      </c>
      <c r="D8" s="38">
        <v>45945</v>
      </c>
      <c r="E8" s="7" t="s">
        <v>90</v>
      </c>
      <c r="F8" s="7" t="s">
        <v>324</v>
      </c>
      <c r="G8" s="7" t="s">
        <v>256</v>
      </c>
      <c r="H8" s="7" t="s">
        <v>90</v>
      </c>
      <c r="I8" s="7" t="s">
        <v>325</v>
      </c>
      <c r="J8" s="7" t="s">
        <v>256</v>
      </c>
      <c r="K8" s="7" t="s">
        <v>326</v>
      </c>
      <c r="L8" s="7" t="s">
        <v>90</v>
      </c>
      <c r="M8" s="7" t="s">
        <v>256</v>
      </c>
      <c r="N8" s="7" t="s">
        <v>327</v>
      </c>
      <c r="O8" s="7" t="s">
        <v>328</v>
      </c>
      <c r="P8" s="7" t="s">
        <v>256</v>
      </c>
      <c r="Q8" s="7" t="s">
        <v>329</v>
      </c>
      <c r="R8" s="7" t="s">
        <v>90</v>
      </c>
      <c r="S8" s="7" t="s">
        <v>256</v>
      </c>
      <c r="T8" s="7" t="s">
        <v>330</v>
      </c>
      <c r="U8" s="7" t="s">
        <v>331</v>
      </c>
      <c r="V8" s="7" t="s">
        <v>256</v>
      </c>
      <c r="W8" s="7" t="s">
        <v>332</v>
      </c>
      <c r="X8" s="7" t="s">
        <v>90</v>
      </c>
      <c r="Y8" s="7" t="s">
        <v>256</v>
      </c>
      <c r="Z8" s="7" t="s">
        <v>90</v>
      </c>
      <c r="AA8" s="7" t="s">
        <v>90</v>
      </c>
      <c r="AB8" s="41" t="s">
        <v>320</v>
      </c>
      <c r="AC8" s="42" t="s">
        <v>322</v>
      </c>
      <c r="AD8" s="7" t="s">
        <v>269</v>
      </c>
    </row>
    <row r="9" spans="1:30" ht="152.25">
      <c r="A9" s="7" t="s">
        <v>179</v>
      </c>
      <c r="B9" s="7" t="s">
        <v>252</v>
      </c>
      <c r="C9" s="37" t="s">
        <v>253</v>
      </c>
      <c r="D9" s="38">
        <v>45938</v>
      </c>
      <c r="E9" s="7" t="s">
        <v>90</v>
      </c>
      <c r="F9" s="7" t="s">
        <v>90</v>
      </c>
      <c r="G9" s="7" t="s">
        <v>256</v>
      </c>
      <c r="H9" s="7" t="s">
        <v>333</v>
      </c>
      <c r="I9" s="7" t="s">
        <v>90</v>
      </c>
      <c r="J9" s="7" t="s">
        <v>256</v>
      </c>
      <c r="K9" s="7" t="s">
        <v>334</v>
      </c>
      <c r="L9" s="7" t="s">
        <v>90</v>
      </c>
      <c r="M9" s="7" t="s">
        <v>256</v>
      </c>
      <c r="N9" s="7" t="s">
        <v>90</v>
      </c>
      <c r="O9" s="7" t="s">
        <v>90</v>
      </c>
      <c r="P9" s="7" t="s">
        <v>256</v>
      </c>
      <c r="Q9" s="7" t="s">
        <v>335</v>
      </c>
      <c r="R9" s="7" t="s">
        <v>90</v>
      </c>
      <c r="S9" s="7" t="s">
        <v>256</v>
      </c>
      <c r="T9" s="7" t="s">
        <v>90</v>
      </c>
      <c r="U9" s="7" t="s">
        <v>90</v>
      </c>
      <c r="V9" s="7" t="s">
        <v>256</v>
      </c>
      <c r="W9" s="7" t="s">
        <v>336</v>
      </c>
      <c r="X9" s="7" t="s">
        <v>90</v>
      </c>
      <c r="Y9" s="7" t="s">
        <v>256</v>
      </c>
      <c r="Z9" s="7" t="s">
        <v>337</v>
      </c>
      <c r="AA9" s="7" t="s">
        <v>90</v>
      </c>
      <c r="AB9" s="41" t="s">
        <v>320</v>
      </c>
      <c r="AC9" s="42" t="s">
        <v>322</v>
      </c>
      <c r="AD9" s="7" t="s">
        <v>269</v>
      </c>
    </row>
    <row r="10" spans="1:30" ht="106.5">
      <c r="A10" s="7" t="s">
        <v>338</v>
      </c>
      <c r="B10" s="7" t="s">
        <v>252</v>
      </c>
      <c r="C10" s="37" t="s">
        <v>253</v>
      </c>
      <c r="D10" s="38">
        <v>45958</v>
      </c>
      <c r="E10" s="7" t="s">
        <v>90</v>
      </c>
      <c r="F10" s="7" t="s">
        <v>339</v>
      </c>
      <c r="G10" s="7" t="s">
        <v>256</v>
      </c>
      <c r="H10" s="7" t="s">
        <v>340</v>
      </c>
      <c r="I10" s="7" t="s">
        <v>341</v>
      </c>
      <c r="J10" s="7" t="s">
        <v>256</v>
      </c>
      <c r="K10" s="7" t="s">
        <v>342</v>
      </c>
      <c r="L10" s="7" t="s">
        <v>90</v>
      </c>
      <c r="M10" s="7" t="s">
        <v>256</v>
      </c>
      <c r="N10" s="7" t="s">
        <v>343</v>
      </c>
      <c r="O10" s="7" t="s">
        <v>344</v>
      </c>
      <c r="P10" s="7" t="s">
        <v>256</v>
      </c>
      <c r="Q10" s="7" t="s">
        <v>345</v>
      </c>
      <c r="R10" s="7" t="s">
        <v>346</v>
      </c>
      <c r="S10" s="7" t="s">
        <v>256</v>
      </c>
      <c r="T10" s="7" t="s">
        <v>347</v>
      </c>
      <c r="U10" s="7" t="s">
        <v>348</v>
      </c>
      <c r="V10" s="7" t="s">
        <v>256</v>
      </c>
      <c r="W10" s="7" t="s">
        <v>349</v>
      </c>
      <c r="X10" s="7" t="s">
        <v>350</v>
      </c>
      <c r="Y10" s="7" t="s">
        <v>256</v>
      </c>
      <c r="Z10" s="7" t="s">
        <v>351</v>
      </c>
      <c r="AA10" s="7" t="s">
        <v>90</v>
      </c>
      <c r="AB10" s="41" t="s">
        <v>320</v>
      </c>
      <c r="AC10" s="42" t="s">
        <v>322</v>
      </c>
      <c r="AD10" s="7" t="s">
        <v>269</v>
      </c>
    </row>
    <row r="11" spans="1:30" ht="183">
      <c r="A11" s="7" t="s">
        <v>352</v>
      </c>
      <c r="B11" s="7" t="s">
        <v>252</v>
      </c>
      <c r="C11" s="37" t="s">
        <v>253</v>
      </c>
      <c r="D11" s="38" t="s">
        <v>90</v>
      </c>
      <c r="E11" s="7" t="s">
        <v>90</v>
      </c>
      <c r="F11" s="7" t="s">
        <v>353</v>
      </c>
      <c r="G11" s="7" t="s">
        <v>305</v>
      </c>
      <c r="H11" s="7" t="s">
        <v>354</v>
      </c>
      <c r="I11" s="7" t="s">
        <v>355</v>
      </c>
      <c r="J11" s="7" t="s">
        <v>305</v>
      </c>
      <c r="K11" s="7" t="s">
        <v>356</v>
      </c>
      <c r="L11" s="7" t="s">
        <v>357</v>
      </c>
      <c r="M11" s="7" t="s">
        <v>256</v>
      </c>
      <c r="N11" s="7" t="s">
        <v>358</v>
      </c>
      <c r="O11" s="7" t="s">
        <v>359</v>
      </c>
      <c r="P11" s="7" t="s">
        <v>305</v>
      </c>
      <c r="Q11" s="7" t="s">
        <v>360</v>
      </c>
      <c r="R11" s="7" t="s">
        <v>361</v>
      </c>
      <c r="S11" s="7" t="s">
        <v>256</v>
      </c>
      <c r="T11" s="7" t="s">
        <v>362</v>
      </c>
      <c r="U11" s="7" t="s">
        <v>363</v>
      </c>
      <c r="V11" s="7" t="s">
        <v>305</v>
      </c>
      <c r="W11" s="7" t="s">
        <v>364</v>
      </c>
      <c r="X11" s="7" t="s">
        <v>365</v>
      </c>
      <c r="Y11" s="7" t="s">
        <v>305</v>
      </c>
      <c r="Z11" s="7" t="s">
        <v>366</v>
      </c>
      <c r="AA11" s="7" t="s">
        <v>90</v>
      </c>
      <c r="AB11" s="41" t="s">
        <v>267</v>
      </c>
      <c r="AC11" s="42" t="s">
        <v>322</v>
      </c>
      <c r="AD11" s="7" t="s">
        <v>269</v>
      </c>
    </row>
    <row r="12" spans="1:30" ht="91.5">
      <c r="A12" s="62" t="s">
        <v>367</v>
      </c>
      <c r="B12" s="63" t="s">
        <v>252</v>
      </c>
      <c r="C12" s="64" t="s">
        <v>253</v>
      </c>
      <c r="D12" s="63" t="s">
        <v>368</v>
      </c>
      <c r="E12" s="63" t="s">
        <v>90</v>
      </c>
      <c r="F12" s="63" t="s">
        <v>369</v>
      </c>
      <c r="G12" s="63" t="s">
        <v>256</v>
      </c>
      <c r="H12" s="63" t="s">
        <v>90</v>
      </c>
      <c r="I12" s="63" t="s">
        <v>370</v>
      </c>
      <c r="J12" s="63" t="s">
        <v>256</v>
      </c>
      <c r="K12" s="63" t="s">
        <v>371</v>
      </c>
      <c r="L12" s="63" t="s">
        <v>372</v>
      </c>
      <c r="M12" s="63" t="s">
        <v>256</v>
      </c>
      <c r="N12" s="63" t="s">
        <v>373</v>
      </c>
      <c r="O12" s="63" t="s">
        <v>374</v>
      </c>
      <c r="P12" s="63" t="s">
        <v>256</v>
      </c>
      <c r="Q12" s="63" t="s">
        <v>375</v>
      </c>
      <c r="R12" s="63" t="s">
        <v>376</v>
      </c>
      <c r="S12" s="63" t="s">
        <v>256</v>
      </c>
      <c r="T12" s="63" t="s">
        <v>377</v>
      </c>
      <c r="U12" s="63" t="s">
        <v>378</v>
      </c>
      <c r="V12" s="63" t="s">
        <v>256</v>
      </c>
      <c r="W12" s="63" t="s">
        <v>379</v>
      </c>
      <c r="X12" s="63" t="s">
        <v>380</v>
      </c>
      <c r="Y12" s="63" t="s">
        <v>256</v>
      </c>
      <c r="Z12" s="63" t="s">
        <v>381</v>
      </c>
      <c r="AA12" s="63" t="s">
        <v>90</v>
      </c>
      <c r="AB12" s="65" t="s">
        <v>267</v>
      </c>
      <c r="AC12" s="66" t="s">
        <v>382</v>
      </c>
      <c r="AD12" s="63" t="s">
        <v>269</v>
      </c>
    </row>
  </sheetData>
  <autoFilter ref="A1:AD1" xr:uid="{00000000-0009-0000-0000-000002000000}"/>
  <dataValidations count="3">
    <dataValidation type="list" allowBlank="1" errorTitle="Invalid Rating" error="Please select Green, Yellow, or Red" sqref="Y13:Y98 V7:V10 G2:G5 M2:M10 P7:P10 S7:S10 V2:V5 S2:S5 P2:P5 J2:J5 Y7:Y10 X5 N5 Y2:Y5 J7:J10 G7:G10 S13:S98 P13:P98 M13:M98 J13:J98 G13:G98 V13:V98" xr:uid="{00000000-0002-0000-0200-000000000000}">
      <formula1>"Green,Yellow,Red"</formula1>
    </dataValidation>
    <dataValidation type="list" allowBlank="1" sqref="AB5 AB2 AB7 AB13:AB98" xr:uid="{00000000-0002-0000-0200-000001000000}">
      <formula1>"Accelerate Prime,Accelerate Core,Accelerate Select,Ignite,Liftoff"</formula1>
    </dataValidation>
    <dataValidation type="list" allowBlank="1" sqref="AA5 AA2 AA7 AA13:AA98" xr:uid="{00000000-0002-0000-0200-000002000000}">
      <formula1>"Submitted,Under Review,With VP/VM,Committee Review,Approved,Rejected"</formula1>
    </dataValidation>
  </dataValidations>
  <hyperlinks>
    <hyperlink ref="C2" r:id="rId1" xr:uid="{2CC6DAA8-594D-4111-896D-48809C5871A4}"/>
    <hyperlink ref="C3:C11" r:id="rId2" display="shruthi.ts@wadhwanifoundation.org" xr:uid="{B38FDA5B-B378-4F90-A244-42EF9A78C13D}"/>
    <hyperlink ref="C12" r:id="rId3" xr:uid="{1E83C70B-B0A8-4FAD-8A2B-2B1D788BDF8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X4"/>
  <sheetViews>
    <sheetView workbookViewId="0">
      <pane ySplit="1" topLeftCell="A2" activePane="bottomLeft" state="frozen"/>
      <selection pane="bottomLeft" activeCell="A4" sqref="A4"/>
      <selection activeCell="I1" sqref="I1"/>
    </sheetView>
  </sheetViews>
  <sheetFormatPr defaultColWidth="8.85546875" defaultRowHeight="15"/>
  <cols>
    <col min="1" max="1" width="18" style="9" customWidth="1"/>
    <col min="2" max="2" width="23" style="9" customWidth="1"/>
    <col min="3" max="4" width="16" style="9" customWidth="1"/>
    <col min="5" max="5" width="28" style="9" customWidth="1"/>
    <col min="6" max="6" width="45" style="9" customWidth="1"/>
    <col min="7" max="7" width="29" style="9" customWidth="1"/>
    <col min="8" max="8" width="25" style="9" customWidth="1"/>
    <col min="9" max="9" width="30" style="9" customWidth="1"/>
    <col min="10" max="10" width="45" style="9" customWidth="1"/>
    <col min="11" max="11" width="31" style="9" customWidth="1"/>
    <col min="12" max="12" width="27" style="9" customWidth="1"/>
    <col min="13" max="13" width="31" style="9" customWidth="1"/>
    <col min="14" max="14" width="45" style="9" customWidth="1"/>
    <col min="15" max="15" width="32" style="9" customWidth="1"/>
    <col min="16" max="16" width="28" style="9" customWidth="1"/>
    <col min="17" max="17" width="32" style="9" customWidth="1"/>
    <col min="18" max="18" width="45" style="9" customWidth="1"/>
    <col min="19" max="19" width="33" style="9" customWidth="1"/>
    <col min="20" max="20" width="29" style="9" customWidth="1"/>
    <col min="21" max="21" width="34" style="9" customWidth="1"/>
    <col min="22" max="22" width="45" style="9" customWidth="1"/>
    <col min="23" max="23" width="35" style="9" customWidth="1"/>
    <col min="24" max="24" width="31" style="9" customWidth="1"/>
    <col min="25" max="28" width="45" style="9" customWidth="1"/>
    <col min="29" max="29" width="39" style="9" customWidth="1"/>
    <col min="30" max="30" width="45" style="9" customWidth="1"/>
    <col min="31" max="31" width="40" style="9" customWidth="1"/>
    <col min="32" max="32" width="36" style="9" customWidth="1"/>
    <col min="33" max="33" width="45" style="9" customWidth="1"/>
    <col min="34" max="34" width="20" style="9" customWidth="1"/>
    <col min="35" max="35" width="45" style="9" customWidth="1"/>
    <col min="36" max="36" width="20" style="9" customWidth="1"/>
    <col min="37" max="37" width="45" style="9" customWidth="1"/>
    <col min="38" max="38" width="20" style="9" customWidth="1"/>
    <col min="39" max="39" width="45" style="9" customWidth="1"/>
    <col min="40" max="40" width="20" style="9" customWidth="1"/>
    <col min="41" max="41" width="45" style="9" customWidth="1"/>
    <col min="42" max="42" width="20" style="9" customWidth="1"/>
    <col min="43" max="43" width="45" style="9" customWidth="1"/>
    <col min="44" max="44" width="20" style="9" customWidth="1"/>
    <col min="45" max="45" width="29" style="9" customWidth="1"/>
    <col min="46" max="48" width="45" style="9" customWidth="1"/>
    <col min="49" max="49" width="42" style="9" customWidth="1"/>
    <col min="50" max="50" width="45" style="9" customWidth="1"/>
    <col min="51" max="51" width="44" style="9" customWidth="1"/>
    <col min="52" max="52" width="45" style="9" customWidth="1"/>
    <col min="53" max="53" width="44" style="9" customWidth="1"/>
    <col min="54" max="54" width="45" style="9" customWidth="1"/>
    <col min="55" max="55" width="37" style="9" customWidth="1"/>
    <col min="56" max="56" width="16" style="9" customWidth="1"/>
    <col min="57" max="16384" width="8.85546875" style="9"/>
  </cols>
  <sheetData>
    <row r="1" spans="1:76" ht="45.75">
      <c r="A1" s="20" t="s">
        <v>43</v>
      </c>
      <c r="B1" s="20" t="s">
        <v>383</v>
      </c>
      <c r="C1" s="20" t="s">
        <v>384</v>
      </c>
      <c r="D1" s="20" t="s">
        <v>385</v>
      </c>
      <c r="E1" s="21" t="s">
        <v>386</v>
      </c>
      <c r="F1" s="21" t="s">
        <v>387</v>
      </c>
      <c r="G1" s="21" t="s">
        <v>388</v>
      </c>
      <c r="H1" s="21" t="s">
        <v>389</v>
      </c>
      <c r="I1" s="21" t="s">
        <v>390</v>
      </c>
      <c r="J1" s="21" t="s">
        <v>391</v>
      </c>
      <c r="K1" s="21" t="s">
        <v>392</v>
      </c>
      <c r="L1" s="21" t="s">
        <v>393</v>
      </c>
      <c r="M1" s="21" t="s">
        <v>394</v>
      </c>
      <c r="N1" s="21" t="s">
        <v>395</v>
      </c>
      <c r="O1" s="21" t="s">
        <v>396</v>
      </c>
      <c r="P1" s="21" t="s">
        <v>397</v>
      </c>
      <c r="Q1" s="21" t="s">
        <v>398</v>
      </c>
      <c r="R1" s="21" t="s">
        <v>399</v>
      </c>
      <c r="S1" s="21" t="s">
        <v>400</v>
      </c>
      <c r="T1" s="21" t="s">
        <v>401</v>
      </c>
      <c r="U1" s="21" t="s">
        <v>402</v>
      </c>
      <c r="V1" s="21" t="s">
        <v>403</v>
      </c>
      <c r="W1" s="21" t="s">
        <v>404</v>
      </c>
      <c r="X1" s="21" t="s">
        <v>405</v>
      </c>
      <c r="Y1" s="21" t="s">
        <v>406</v>
      </c>
      <c r="Z1" s="21" t="s">
        <v>407</v>
      </c>
      <c r="AA1" s="21" t="s">
        <v>408</v>
      </c>
      <c r="AB1" s="21" t="s">
        <v>409</v>
      </c>
      <c r="AC1" s="21" t="s">
        <v>410</v>
      </c>
      <c r="AD1" s="21" t="s">
        <v>411</v>
      </c>
      <c r="AE1" s="21" t="s">
        <v>412</v>
      </c>
      <c r="AF1" s="21" t="s">
        <v>413</v>
      </c>
      <c r="AG1" s="22" t="s">
        <v>414</v>
      </c>
      <c r="AH1" s="22" t="s">
        <v>415</v>
      </c>
      <c r="AI1" s="22" t="s">
        <v>416</v>
      </c>
      <c r="AJ1" s="22" t="s">
        <v>417</v>
      </c>
      <c r="AK1" s="22" t="s">
        <v>418</v>
      </c>
      <c r="AL1" s="22" t="s">
        <v>419</v>
      </c>
      <c r="AM1" s="22" t="s">
        <v>420</v>
      </c>
      <c r="AN1" s="22" t="s">
        <v>421</v>
      </c>
      <c r="AO1" s="22" t="s">
        <v>422</v>
      </c>
      <c r="AP1" s="22" t="s">
        <v>423</v>
      </c>
      <c r="AQ1" s="22" t="s">
        <v>424</v>
      </c>
      <c r="AR1" s="22" t="s">
        <v>425</v>
      </c>
      <c r="AS1" s="23" t="s">
        <v>426</v>
      </c>
      <c r="AT1" s="23" t="s">
        <v>427</v>
      </c>
      <c r="AU1" s="23" t="s">
        <v>428</v>
      </c>
      <c r="AV1" s="23" t="s">
        <v>429</v>
      </c>
      <c r="AW1" s="23" t="s">
        <v>430</v>
      </c>
      <c r="AX1" s="23" t="s">
        <v>431</v>
      </c>
      <c r="AY1" s="23" t="s">
        <v>432</v>
      </c>
      <c r="AZ1" s="23" t="s">
        <v>433</v>
      </c>
      <c r="BA1" s="23" t="s">
        <v>434</v>
      </c>
      <c r="BB1" s="23" t="s">
        <v>435</v>
      </c>
      <c r="BC1" s="24" t="s">
        <v>436</v>
      </c>
      <c r="BD1" s="24" t="s">
        <v>437</v>
      </c>
    </row>
    <row r="2" spans="1:76">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row>
    <row r="3" spans="1:76">
      <c r="A3" s="25"/>
      <c r="B3" s="25"/>
      <c r="C3" s="19"/>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6"/>
      <c r="BF3" s="26"/>
      <c r="BG3" s="26"/>
      <c r="BH3" s="26"/>
      <c r="BI3" s="26"/>
      <c r="BJ3" s="26"/>
      <c r="BK3" s="26"/>
      <c r="BL3" s="26"/>
      <c r="BM3" s="26"/>
      <c r="BN3" s="26"/>
      <c r="BO3" s="26"/>
      <c r="BP3" s="26"/>
      <c r="BQ3" s="26"/>
      <c r="BR3" s="26"/>
      <c r="BS3" s="26"/>
      <c r="BT3" s="26"/>
      <c r="BU3" s="26"/>
      <c r="BV3" s="26"/>
      <c r="BW3" s="27"/>
      <c r="BX3" s="26"/>
    </row>
    <row r="4" spans="1:76">
      <c r="A4" s="35"/>
      <c r="B4" s="42"/>
      <c r="C4" s="19"/>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6"/>
      <c r="BF4" s="26"/>
      <c r="BG4" s="26"/>
      <c r="BH4" s="26"/>
      <c r="BI4" s="26"/>
      <c r="BJ4" s="26"/>
      <c r="BK4" s="26"/>
      <c r="BL4" s="26"/>
      <c r="BM4" s="26"/>
      <c r="BN4" s="26"/>
      <c r="BO4" s="26"/>
      <c r="BP4" s="26"/>
      <c r="BQ4" s="26"/>
      <c r="BR4" s="26"/>
      <c r="BS4" s="26"/>
      <c r="BT4" s="26"/>
      <c r="BU4" s="26"/>
      <c r="BV4" s="26"/>
      <c r="BW4" s="27"/>
      <c r="BX4" s="26"/>
    </row>
  </sheetData>
  <autoFilter ref="A1:BD2" xr:uid="{00000000-0009-0000-0000-000004000000}"/>
  <dataValidations count="6">
    <dataValidation type="list" allowBlank="1" error="Select Green, Yellow, or Red" sqref="I5:J101 M5:N101 Q5:R101 U5:V101 Y5:Z101 AC5:AD101 E5:F101" xr:uid="{00000000-0002-0000-0400-000000000000}">
      <formula1>"Green,Yellow,Red"</formula1>
    </dataValidation>
    <dataValidation type="list" allowBlank="1" sqref="AI5:AI101 AK5:AK101 AM5:AM101 AO5:AO101 AQ5:AQ101 AG5:AG101" xr:uid="{00000000-0002-0000-0400-000001000000}">
      <formula1>"Yes,No"</formula1>
    </dataValidation>
    <dataValidation type="list" sqref="AS5:AS101" xr:uid="{00000000-0002-0000-0400-000002000000}">
      <formula1>"Expand to New Markets - Domestic,Expand to New Markets - Exports,Enable a new Sales channel,Introduce a new Product"</formula1>
    </dataValidation>
    <dataValidation type="whole" error="Select 1-5 (see rubric descriptions in Instructions sheet)" sqref="AU5:AY101" xr:uid="{00000000-0002-0000-0400-000003000000}">
      <formula1>1</formula1>
      <formula2>5</formula2>
    </dataValidation>
    <dataValidation type="list" sqref="BC5:BC101" xr:uid="{00000000-0002-0000-0400-000004000000}">
      <formula1>"Yes,No"</formula1>
    </dataValidation>
    <dataValidation type="list" allowBlank="1" sqref="BW3:BW4" xr:uid="{F20842CC-58A7-4E9C-A8E6-8476D639D1C9}">
      <formula1>"Prime,Core,Select"</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97"/>
  <sheetViews>
    <sheetView topLeftCell="AH1" workbookViewId="0">
      <pane ySplit="1" topLeftCell="A2" activePane="bottomLeft" state="frozen"/>
      <selection pane="bottomLeft" activeCell="C1" sqref="C1:C1048576"/>
    </sheetView>
  </sheetViews>
  <sheetFormatPr defaultColWidth="8.85546875" defaultRowHeight="15" customHeight="1"/>
  <cols>
    <col min="1" max="1" width="27.28515625" style="9" customWidth="1"/>
    <col min="2" max="2" width="26" style="9" customWidth="1"/>
    <col min="3" max="3" width="35" style="9" customWidth="1"/>
    <col min="4" max="4" width="28" style="9" customWidth="1"/>
    <col min="5" max="5" width="35" style="9" customWidth="1"/>
    <col min="6" max="6" width="31" style="9" customWidth="1"/>
    <col min="7" max="7" width="27" style="9" customWidth="1"/>
    <col min="8" max="8" width="22" style="9" customWidth="1"/>
    <col min="9" max="9" width="24.42578125" style="9" customWidth="1"/>
    <col min="10" max="11" width="27" style="9" customWidth="1"/>
    <col min="12" max="13" width="32" style="9" customWidth="1"/>
    <col min="14" max="16" width="35" style="9" customWidth="1"/>
    <col min="17" max="18" width="32" style="9" customWidth="1"/>
    <col min="19" max="21" width="35" style="9" customWidth="1"/>
    <col min="22" max="23" width="32" style="9" customWidth="1"/>
    <col min="24" max="26" width="35" style="9" customWidth="1"/>
    <col min="27" max="28" width="32" style="9" customWidth="1"/>
    <col min="29" max="31" width="35" style="9" customWidth="1"/>
    <col min="32" max="33" width="32" style="9" customWidth="1"/>
    <col min="34" max="36" width="35" style="9" customWidth="1"/>
    <col min="37" max="37" width="17" style="9" customWidth="1"/>
    <col min="38" max="39" width="23" style="9" customWidth="1"/>
    <col min="40" max="41" width="28" style="9" customWidth="1"/>
    <col min="42" max="42" width="33" style="9" customWidth="1"/>
    <col min="43" max="44" width="31" style="9" customWidth="1"/>
    <col min="45" max="46" width="28" style="9" customWidth="1"/>
    <col min="47" max="47" width="33" style="9" customWidth="1"/>
    <col min="48" max="49" width="31" style="9" customWidth="1"/>
    <col min="50" max="51" width="28" style="9" customWidth="1"/>
    <col min="52" max="52" width="33" style="9" customWidth="1"/>
    <col min="53" max="54" width="31" style="9" customWidth="1"/>
    <col min="55" max="56" width="28" style="9" customWidth="1"/>
    <col min="57" max="57" width="33" style="9" customWidth="1"/>
    <col min="58" max="59" width="31" style="9" customWidth="1"/>
    <col min="60" max="61" width="28" style="9" customWidth="1"/>
    <col min="62" max="62" width="33" style="9" customWidth="1"/>
    <col min="63" max="64" width="31" style="9" customWidth="1"/>
    <col min="65" max="65" width="30" style="9" customWidth="1"/>
    <col min="66" max="92" width="35" style="9" customWidth="1"/>
    <col min="93" max="93" width="18" style="9" customWidth="1"/>
    <col min="94" max="95" width="24" style="9" customWidth="1"/>
    <col min="96" max="97" width="29" style="9" customWidth="1"/>
    <col min="98" max="98" width="34" style="9" customWidth="1"/>
    <col min="99" max="100" width="32" style="9" customWidth="1"/>
    <col min="101" max="102" width="29" style="9" customWidth="1"/>
    <col min="103" max="103" width="34" style="9" customWidth="1"/>
    <col min="104" max="105" width="32" style="9" customWidth="1"/>
    <col min="106" max="107" width="29" style="9" customWidth="1"/>
    <col min="108" max="108" width="34" style="9" customWidth="1"/>
    <col min="109" max="110" width="32" style="9" customWidth="1"/>
    <col min="111" max="112" width="29" style="9" customWidth="1"/>
    <col min="113" max="113" width="34" style="9" customWidth="1"/>
    <col min="114" max="115" width="32" style="9" customWidth="1"/>
    <col min="116" max="117" width="29" style="9" customWidth="1"/>
    <col min="118" max="118" width="34" style="9" customWidth="1"/>
    <col min="119" max="120" width="32" style="9" customWidth="1"/>
    <col min="121" max="121" width="26" style="9" customWidth="1"/>
    <col min="122" max="123" width="32" style="9" customWidth="1"/>
    <col min="124" max="148" width="35" style="9" customWidth="1"/>
    <col min="149" max="149" width="49.85546875" style="9" customWidth="1"/>
    <col min="150" max="151" width="30" style="9" customWidth="1"/>
    <col min="152" max="176" width="35" style="9" customWidth="1"/>
    <col min="177" max="16384" width="8.85546875" style="9"/>
  </cols>
  <sheetData>
    <row r="1" spans="1:179" ht="30.75">
      <c r="A1" s="20" t="s">
        <v>43</v>
      </c>
      <c r="B1" s="20" t="s">
        <v>438</v>
      </c>
      <c r="C1" s="20" t="s">
        <v>439</v>
      </c>
      <c r="D1" s="20" t="s">
        <v>440</v>
      </c>
      <c r="E1" s="20" t="s">
        <v>441</v>
      </c>
      <c r="F1" s="20" t="s">
        <v>442</v>
      </c>
      <c r="G1" s="20" t="s">
        <v>443</v>
      </c>
      <c r="H1" s="20" t="s">
        <v>444</v>
      </c>
      <c r="I1" s="81" t="s">
        <v>445</v>
      </c>
      <c r="J1" s="81" t="s">
        <v>446</v>
      </c>
      <c r="K1" s="81" t="s">
        <v>447</v>
      </c>
      <c r="L1" s="81" t="s">
        <v>448</v>
      </c>
      <c r="M1" s="81" t="s">
        <v>449</v>
      </c>
      <c r="N1" s="81" t="s">
        <v>450</v>
      </c>
      <c r="O1" s="81" t="s">
        <v>451</v>
      </c>
      <c r="P1" s="82" t="s">
        <v>452</v>
      </c>
      <c r="Q1" s="81" t="s">
        <v>453</v>
      </c>
      <c r="R1" s="81" t="s">
        <v>454</v>
      </c>
      <c r="S1" s="81" t="s">
        <v>455</v>
      </c>
      <c r="T1" s="81" t="s">
        <v>456</v>
      </c>
      <c r="U1" s="81" t="s">
        <v>457</v>
      </c>
      <c r="V1" s="81" t="s">
        <v>458</v>
      </c>
      <c r="W1" s="81" t="s">
        <v>459</v>
      </c>
      <c r="X1" s="81" t="s">
        <v>460</v>
      </c>
      <c r="Y1" s="81" t="s">
        <v>461</v>
      </c>
      <c r="Z1" s="81" t="s">
        <v>462</v>
      </c>
      <c r="AA1" s="81" t="s">
        <v>463</v>
      </c>
      <c r="AB1" s="81" t="s">
        <v>464</v>
      </c>
      <c r="AC1" s="81" t="s">
        <v>465</v>
      </c>
      <c r="AD1" s="81" t="s">
        <v>466</v>
      </c>
      <c r="AE1" s="81" t="s">
        <v>467</v>
      </c>
      <c r="AF1" s="81" t="s">
        <v>468</v>
      </c>
      <c r="AG1" s="81" t="s">
        <v>469</v>
      </c>
      <c r="AH1" s="81" t="s">
        <v>470</v>
      </c>
      <c r="AI1" s="81" t="s">
        <v>471</v>
      </c>
      <c r="AJ1" s="81" t="s">
        <v>472</v>
      </c>
      <c r="AK1" s="83" t="s">
        <v>473</v>
      </c>
      <c r="AL1" s="83" t="s">
        <v>474</v>
      </c>
      <c r="AM1" s="83" t="s">
        <v>475</v>
      </c>
      <c r="AN1" s="83" t="s">
        <v>476</v>
      </c>
      <c r="AO1" s="83" t="s">
        <v>477</v>
      </c>
      <c r="AP1" s="83" t="s">
        <v>478</v>
      </c>
      <c r="AQ1" s="83" t="s">
        <v>479</v>
      </c>
      <c r="AR1" s="83" t="s">
        <v>480</v>
      </c>
      <c r="AS1" s="83" t="s">
        <v>481</v>
      </c>
      <c r="AT1" s="83" t="s">
        <v>482</v>
      </c>
      <c r="AU1" s="83" t="s">
        <v>483</v>
      </c>
      <c r="AV1" s="83" t="s">
        <v>484</v>
      </c>
      <c r="AW1" s="83" t="s">
        <v>485</v>
      </c>
      <c r="AX1" s="83" t="s">
        <v>486</v>
      </c>
      <c r="AY1" s="83" t="s">
        <v>487</v>
      </c>
      <c r="AZ1" s="83" t="s">
        <v>488</v>
      </c>
      <c r="BA1" s="83" t="s">
        <v>489</v>
      </c>
      <c r="BB1" s="83" t="s">
        <v>490</v>
      </c>
      <c r="BC1" s="83" t="s">
        <v>491</v>
      </c>
      <c r="BD1" s="83" t="s">
        <v>492</v>
      </c>
      <c r="BE1" s="83" t="s">
        <v>493</v>
      </c>
      <c r="BF1" s="83" t="s">
        <v>494</v>
      </c>
      <c r="BG1" s="83" t="s">
        <v>495</v>
      </c>
      <c r="BH1" s="83" t="s">
        <v>496</v>
      </c>
      <c r="BI1" s="83" t="s">
        <v>497</v>
      </c>
      <c r="BJ1" s="83" t="s">
        <v>498</v>
      </c>
      <c r="BK1" s="83" t="s">
        <v>499</v>
      </c>
      <c r="BL1" s="83" t="s">
        <v>500</v>
      </c>
      <c r="BM1" s="22" t="s">
        <v>501</v>
      </c>
      <c r="BN1" s="22" t="s">
        <v>502</v>
      </c>
      <c r="BO1" s="22" t="s">
        <v>503</v>
      </c>
      <c r="BP1" s="22" t="s">
        <v>504</v>
      </c>
      <c r="BQ1" s="22" t="s">
        <v>505</v>
      </c>
      <c r="BR1" s="22" t="s">
        <v>506</v>
      </c>
      <c r="BS1" s="22" t="s">
        <v>507</v>
      </c>
      <c r="BT1" s="22" t="s">
        <v>508</v>
      </c>
      <c r="BU1" s="22" t="s">
        <v>509</v>
      </c>
      <c r="BV1" s="22" t="s">
        <v>510</v>
      </c>
      <c r="BW1" s="22" t="s">
        <v>511</v>
      </c>
      <c r="BX1" s="22" t="s">
        <v>512</v>
      </c>
      <c r="BY1" s="22" t="s">
        <v>513</v>
      </c>
      <c r="BZ1" s="22" t="s">
        <v>514</v>
      </c>
      <c r="CA1" s="22" t="s">
        <v>515</v>
      </c>
      <c r="CB1" s="22" t="s">
        <v>516</v>
      </c>
      <c r="CC1" s="22" t="s">
        <v>517</v>
      </c>
      <c r="CD1" s="22" t="s">
        <v>518</v>
      </c>
      <c r="CE1" s="22" t="s">
        <v>519</v>
      </c>
      <c r="CF1" s="22" t="s">
        <v>520</v>
      </c>
      <c r="CG1" s="22" t="s">
        <v>521</v>
      </c>
      <c r="CH1" s="22" t="s">
        <v>522</v>
      </c>
      <c r="CI1" s="22" t="s">
        <v>523</v>
      </c>
      <c r="CJ1" s="22" t="s">
        <v>524</v>
      </c>
      <c r="CK1" s="22" t="s">
        <v>525</v>
      </c>
      <c r="CL1" s="22" t="s">
        <v>526</v>
      </c>
      <c r="CM1" s="22" t="s">
        <v>527</v>
      </c>
      <c r="CN1" s="22" t="s">
        <v>528</v>
      </c>
      <c r="CO1" s="84" t="s">
        <v>529</v>
      </c>
      <c r="CP1" s="84" t="s">
        <v>530</v>
      </c>
      <c r="CQ1" s="84" t="s">
        <v>531</v>
      </c>
      <c r="CR1" s="84" t="s">
        <v>532</v>
      </c>
      <c r="CS1" s="84" t="s">
        <v>533</v>
      </c>
      <c r="CT1" s="84" t="s">
        <v>534</v>
      </c>
      <c r="CU1" s="84" t="s">
        <v>535</v>
      </c>
      <c r="CV1" s="84" t="s">
        <v>536</v>
      </c>
      <c r="CW1" s="84" t="s">
        <v>537</v>
      </c>
      <c r="CX1" s="84" t="s">
        <v>538</v>
      </c>
      <c r="CY1" s="84" t="s">
        <v>539</v>
      </c>
      <c r="CZ1" s="84" t="s">
        <v>540</v>
      </c>
      <c r="DA1" s="84" t="s">
        <v>541</v>
      </c>
      <c r="DB1" s="84" t="s">
        <v>542</v>
      </c>
      <c r="DC1" s="84" t="s">
        <v>543</v>
      </c>
      <c r="DD1" s="84" t="s">
        <v>544</v>
      </c>
      <c r="DE1" s="84" t="s">
        <v>545</v>
      </c>
      <c r="DF1" s="84" t="s">
        <v>546</v>
      </c>
      <c r="DG1" s="84" t="s">
        <v>547</v>
      </c>
      <c r="DH1" s="84" t="s">
        <v>548</v>
      </c>
      <c r="DI1" s="84" t="s">
        <v>549</v>
      </c>
      <c r="DJ1" s="84" t="s">
        <v>550</v>
      </c>
      <c r="DK1" s="84" t="s">
        <v>551</v>
      </c>
      <c r="DL1" s="84" t="s">
        <v>552</v>
      </c>
      <c r="DM1" s="84" t="s">
        <v>553</v>
      </c>
      <c r="DN1" s="84" t="s">
        <v>554</v>
      </c>
      <c r="DO1" s="84" t="s">
        <v>555</v>
      </c>
      <c r="DP1" s="84" t="s">
        <v>556</v>
      </c>
      <c r="DQ1" s="85" t="s">
        <v>557</v>
      </c>
      <c r="DR1" s="85" t="s">
        <v>558</v>
      </c>
      <c r="DS1" s="85" t="s">
        <v>559</v>
      </c>
      <c r="DT1" s="85" t="s">
        <v>560</v>
      </c>
      <c r="DU1" s="85" t="s">
        <v>561</v>
      </c>
      <c r="DV1" s="85" t="s">
        <v>562</v>
      </c>
      <c r="DW1" s="85" t="s">
        <v>563</v>
      </c>
      <c r="DX1" s="85" t="s">
        <v>564</v>
      </c>
      <c r="DY1" s="85" t="s">
        <v>565</v>
      </c>
      <c r="DZ1" s="85" t="s">
        <v>566</v>
      </c>
      <c r="EA1" s="85" t="s">
        <v>567</v>
      </c>
      <c r="EB1" s="85" t="s">
        <v>568</v>
      </c>
      <c r="EC1" s="85" t="s">
        <v>569</v>
      </c>
      <c r="ED1" s="85" t="s">
        <v>570</v>
      </c>
      <c r="EE1" s="85" t="s">
        <v>571</v>
      </c>
      <c r="EF1" s="85" t="s">
        <v>572</v>
      </c>
      <c r="EG1" s="85" t="s">
        <v>573</v>
      </c>
      <c r="EH1" s="85" t="s">
        <v>574</v>
      </c>
      <c r="EI1" s="85" t="s">
        <v>575</v>
      </c>
      <c r="EJ1" s="85" t="s">
        <v>576</v>
      </c>
      <c r="EK1" s="85" t="s">
        <v>577</v>
      </c>
      <c r="EL1" s="85" t="s">
        <v>578</v>
      </c>
      <c r="EM1" s="85" t="s">
        <v>579</v>
      </c>
      <c r="EN1" s="85" t="s">
        <v>580</v>
      </c>
      <c r="EO1" s="85" t="s">
        <v>581</v>
      </c>
      <c r="EP1" s="85" t="s">
        <v>582</v>
      </c>
      <c r="EQ1" s="85" t="s">
        <v>583</v>
      </c>
      <c r="ER1" s="85" t="s">
        <v>584</v>
      </c>
      <c r="ES1" s="86" t="s">
        <v>585</v>
      </c>
      <c r="ET1" s="86" t="s">
        <v>586</v>
      </c>
      <c r="EU1" s="87" t="s">
        <v>587</v>
      </c>
      <c r="EV1" s="86" t="s">
        <v>588</v>
      </c>
      <c r="EW1" s="86" t="s">
        <v>589</v>
      </c>
      <c r="EX1" s="86" t="s">
        <v>590</v>
      </c>
      <c r="EY1" s="86" t="s">
        <v>591</v>
      </c>
      <c r="EZ1" s="86" t="s">
        <v>592</v>
      </c>
      <c r="FA1" s="86" t="s">
        <v>593</v>
      </c>
      <c r="FB1" s="86" t="s">
        <v>594</v>
      </c>
      <c r="FC1" s="86" t="s">
        <v>595</v>
      </c>
      <c r="FD1" s="86" t="s">
        <v>596</v>
      </c>
      <c r="FE1" s="86" t="s">
        <v>597</v>
      </c>
      <c r="FF1" s="86" t="s">
        <v>598</v>
      </c>
      <c r="FG1" s="86" t="s">
        <v>599</v>
      </c>
      <c r="FH1" s="86" t="s">
        <v>600</v>
      </c>
      <c r="FI1" s="86" t="s">
        <v>601</v>
      </c>
      <c r="FJ1" s="86" t="s">
        <v>602</v>
      </c>
      <c r="FK1" s="86" t="s">
        <v>603</v>
      </c>
      <c r="FL1" s="86" t="s">
        <v>604</v>
      </c>
      <c r="FM1" s="86" t="s">
        <v>605</v>
      </c>
      <c r="FN1" s="86" t="s">
        <v>606</v>
      </c>
      <c r="FO1" s="86" t="s">
        <v>607</v>
      </c>
      <c r="FP1" s="86" t="s">
        <v>608</v>
      </c>
      <c r="FQ1" s="86" t="s">
        <v>609</v>
      </c>
      <c r="FR1" s="86" t="s">
        <v>610</v>
      </c>
      <c r="FS1" s="86" t="s">
        <v>601</v>
      </c>
      <c r="FT1" s="86" t="s">
        <v>611</v>
      </c>
      <c r="FU1" s="88" t="s">
        <v>612</v>
      </c>
      <c r="FV1" s="88" t="s">
        <v>613</v>
      </c>
      <c r="FW1" s="88" t="s">
        <v>614</v>
      </c>
    </row>
    <row r="2" spans="1:179">
      <c r="A2" s="89" t="s">
        <v>615</v>
      </c>
      <c r="B2" s="72" t="s">
        <v>616</v>
      </c>
      <c r="C2" s="90" t="s">
        <v>267</v>
      </c>
      <c r="D2" s="90">
        <v>18</v>
      </c>
      <c r="E2" s="90">
        <v>57</v>
      </c>
      <c r="F2" s="90">
        <v>105</v>
      </c>
      <c r="G2" s="91">
        <v>193.79999999999998</v>
      </c>
      <c r="H2" s="73" t="s">
        <v>617</v>
      </c>
      <c r="I2" s="14" t="s">
        <v>618</v>
      </c>
      <c r="J2" s="90" t="s">
        <v>619</v>
      </c>
      <c r="K2" s="90" t="s">
        <v>620</v>
      </c>
      <c r="L2" s="14" t="s">
        <v>621</v>
      </c>
      <c r="M2" s="7" t="s">
        <v>75</v>
      </c>
      <c r="N2" s="74">
        <v>45964</v>
      </c>
      <c r="O2" s="74">
        <v>46142</v>
      </c>
      <c r="P2" s="75" t="s">
        <v>622</v>
      </c>
      <c r="Q2" s="14" t="s">
        <v>623</v>
      </c>
      <c r="R2" s="7" t="s">
        <v>75</v>
      </c>
      <c r="S2" s="76">
        <v>46007</v>
      </c>
      <c r="T2" s="76" t="s">
        <v>624</v>
      </c>
      <c r="U2" s="77" t="s">
        <v>622</v>
      </c>
      <c r="V2" s="14" t="s">
        <v>625</v>
      </c>
      <c r="W2" s="7" t="s">
        <v>75</v>
      </c>
      <c r="X2" s="74">
        <v>45964</v>
      </c>
      <c r="Y2" s="74">
        <v>46142</v>
      </c>
      <c r="Z2" s="75" t="s">
        <v>622</v>
      </c>
      <c r="AA2" s="14" t="s">
        <v>626</v>
      </c>
      <c r="AB2" s="7" t="s">
        <v>75</v>
      </c>
      <c r="AC2" s="74">
        <v>45964</v>
      </c>
      <c r="AD2" s="74">
        <v>46142</v>
      </c>
      <c r="AE2" s="75" t="s">
        <v>622</v>
      </c>
      <c r="AF2" s="14" t="s">
        <v>627</v>
      </c>
      <c r="AG2" s="7" t="s">
        <v>75</v>
      </c>
      <c r="AH2" s="74">
        <v>45964</v>
      </c>
      <c r="AI2" s="74">
        <v>46142</v>
      </c>
      <c r="AJ2" s="75" t="s">
        <v>622</v>
      </c>
      <c r="AK2" s="14" t="s">
        <v>628</v>
      </c>
      <c r="AL2" s="90" t="s">
        <v>629</v>
      </c>
      <c r="AM2" s="90" t="s">
        <v>620</v>
      </c>
      <c r="AN2" s="90" t="s">
        <v>630</v>
      </c>
      <c r="AO2" s="7" t="s">
        <v>75</v>
      </c>
      <c r="AP2" s="74">
        <v>45964</v>
      </c>
      <c r="AQ2" s="74">
        <v>46142</v>
      </c>
      <c r="AR2" s="75" t="s">
        <v>622</v>
      </c>
      <c r="AS2" s="14" t="s">
        <v>631</v>
      </c>
      <c r="AT2" s="7" t="s">
        <v>75</v>
      </c>
      <c r="AU2" s="74">
        <v>45964</v>
      </c>
      <c r="AV2" s="74">
        <v>46142</v>
      </c>
      <c r="AW2" s="75" t="s">
        <v>622</v>
      </c>
      <c r="AX2" s="14" t="s">
        <v>632</v>
      </c>
      <c r="AY2" s="7" t="s">
        <v>75</v>
      </c>
      <c r="AZ2" s="74">
        <v>45964</v>
      </c>
      <c r="BA2" s="74">
        <v>46142</v>
      </c>
      <c r="BB2" s="75" t="s">
        <v>622</v>
      </c>
      <c r="BC2" s="14" t="s">
        <v>633</v>
      </c>
      <c r="BD2" s="7" t="s">
        <v>75</v>
      </c>
      <c r="BE2" s="74">
        <v>45964</v>
      </c>
      <c r="BF2" s="74">
        <v>46142</v>
      </c>
      <c r="BG2" s="75" t="s">
        <v>622</v>
      </c>
      <c r="BH2" s="14" t="s">
        <v>634</v>
      </c>
      <c r="BI2" s="7" t="s">
        <v>75</v>
      </c>
      <c r="BJ2" s="74">
        <v>45964</v>
      </c>
      <c r="BK2" s="74">
        <v>46142</v>
      </c>
      <c r="BL2" s="75" t="s">
        <v>622</v>
      </c>
      <c r="BM2" s="14" t="s">
        <v>635</v>
      </c>
      <c r="BN2" s="90" t="s">
        <v>629</v>
      </c>
      <c r="BO2" s="90" t="s">
        <v>620</v>
      </c>
      <c r="BP2" s="14" t="s">
        <v>636</v>
      </c>
      <c r="BQ2" s="7" t="s">
        <v>75</v>
      </c>
      <c r="BR2" s="74">
        <v>45964</v>
      </c>
      <c r="BS2" s="74">
        <v>46142</v>
      </c>
      <c r="BT2" s="75" t="s">
        <v>622</v>
      </c>
      <c r="BU2" s="14" t="s">
        <v>637</v>
      </c>
      <c r="BV2" s="7" t="s">
        <v>75</v>
      </c>
      <c r="BW2" s="74">
        <v>45964</v>
      </c>
      <c r="BX2" s="74">
        <v>46142</v>
      </c>
      <c r="BY2" s="75" t="s">
        <v>622</v>
      </c>
      <c r="BZ2" s="14" t="s">
        <v>638</v>
      </c>
      <c r="CA2" s="7" t="s">
        <v>75</v>
      </c>
      <c r="CB2" s="74">
        <v>45964</v>
      </c>
      <c r="CC2" s="74">
        <v>46142</v>
      </c>
      <c r="CD2" s="75" t="s">
        <v>622</v>
      </c>
      <c r="CE2" s="14" t="s">
        <v>639</v>
      </c>
      <c r="CF2" s="7" t="s">
        <v>75</v>
      </c>
      <c r="CG2" s="74">
        <v>45964</v>
      </c>
      <c r="CH2" s="74">
        <v>46142</v>
      </c>
      <c r="CI2" s="75" t="s">
        <v>622</v>
      </c>
      <c r="CJ2" s="14" t="s">
        <v>640</v>
      </c>
      <c r="CK2" s="7" t="s">
        <v>75</v>
      </c>
      <c r="CL2" s="74">
        <v>45964</v>
      </c>
      <c r="CM2" s="74">
        <v>46142</v>
      </c>
      <c r="CN2" s="75" t="s">
        <v>622</v>
      </c>
      <c r="CO2" s="14" t="s">
        <v>641</v>
      </c>
      <c r="CP2" s="90" t="s">
        <v>629</v>
      </c>
      <c r="CQ2" s="90" t="s">
        <v>620</v>
      </c>
      <c r="CR2" s="14" t="s">
        <v>642</v>
      </c>
      <c r="CS2" s="7" t="s">
        <v>75</v>
      </c>
      <c r="CT2" s="74">
        <v>45964</v>
      </c>
      <c r="CU2" s="74">
        <v>46142</v>
      </c>
      <c r="CV2" s="75" t="s">
        <v>622</v>
      </c>
      <c r="CW2" s="14" t="s">
        <v>643</v>
      </c>
      <c r="CX2" s="7" t="s">
        <v>75</v>
      </c>
      <c r="CY2" s="74">
        <v>45964</v>
      </c>
      <c r="CZ2" s="74">
        <v>46142</v>
      </c>
      <c r="DA2" s="75" t="s">
        <v>622</v>
      </c>
      <c r="DB2" s="14" t="s">
        <v>644</v>
      </c>
      <c r="DC2" s="7" t="s">
        <v>75</v>
      </c>
      <c r="DD2" s="74">
        <v>45964</v>
      </c>
      <c r="DE2" s="74">
        <v>46142</v>
      </c>
      <c r="DF2" s="75" t="s">
        <v>622</v>
      </c>
      <c r="DG2" s="14" t="s">
        <v>645</v>
      </c>
      <c r="DH2" s="7" t="s">
        <v>75</v>
      </c>
      <c r="DI2" s="74">
        <v>45964</v>
      </c>
      <c r="DJ2" s="74">
        <v>46142</v>
      </c>
      <c r="DK2" s="75" t="s">
        <v>622</v>
      </c>
      <c r="DL2" s="14" t="s">
        <v>646</v>
      </c>
      <c r="DM2" s="7" t="s">
        <v>75</v>
      </c>
      <c r="DN2" s="74">
        <v>45964</v>
      </c>
      <c r="DO2" s="74">
        <v>46142</v>
      </c>
      <c r="DP2" s="75" t="s">
        <v>622</v>
      </c>
      <c r="DQ2" s="14" t="s">
        <v>647</v>
      </c>
      <c r="DR2" s="90" t="s">
        <v>648</v>
      </c>
      <c r="DS2" s="90" t="s">
        <v>620</v>
      </c>
      <c r="DT2" s="14" t="s">
        <v>649</v>
      </c>
      <c r="DU2" s="7" t="s">
        <v>75</v>
      </c>
      <c r="DV2" s="74">
        <v>45964</v>
      </c>
      <c r="DW2" s="74">
        <v>46142</v>
      </c>
      <c r="DX2" s="75" t="s">
        <v>622</v>
      </c>
      <c r="DY2" s="14" t="s">
        <v>650</v>
      </c>
      <c r="DZ2" s="7" t="s">
        <v>75</v>
      </c>
      <c r="EA2" s="74">
        <v>45964</v>
      </c>
      <c r="EB2" s="74">
        <v>46142</v>
      </c>
      <c r="EC2" s="75" t="s">
        <v>622</v>
      </c>
      <c r="ED2" s="14" t="s">
        <v>651</v>
      </c>
      <c r="EE2" s="7" t="s">
        <v>75</v>
      </c>
      <c r="EF2" s="74">
        <v>45964</v>
      </c>
      <c r="EG2" s="74">
        <v>46142</v>
      </c>
      <c r="EH2" s="75" t="s">
        <v>622</v>
      </c>
      <c r="EI2" s="14" t="s">
        <v>652</v>
      </c>
      <c r="EJ2" s="7" t="s">
        <v>75</v>
      </c>
      <c r="EK2" s="74">
        <v>45964</v>
      </c>
      <c r="EL2" s="74">
        <v>46142</v>
      </c>
      <c r="EM2" s="75" t="s">
        <v>622</v>
      </c>
      <c r="EN2" s="14" t="s">
        <v>653</v>
      </c>
      <c r="EO2" s="7" t="s">
        <v>75</v>
      </c>
      <c r="EP2" s="74">
        <v>45964</v>
      </c>
      <c r="EQ2" s="74">
        <v>46142</v>
      </c>
      <c r="ER2" s="75" t="s">
        <v>622</v>
      </c>
      <c r="ES2" s="14" t="s">
        <v>654</v>
      </c>
      <c r="ET2" s="90" t="s">
        <v>629</v>
      </c>
      <c r="EU2" s="90" t="s">
        <v>620</v>
      </c>
      <c r="EV2" s="14" t="s">
        <v>655</v>
      </c>
      <c r="EW2" s="7" t="s">
        <v>75</v>
      </c>
      <c r="EX2" s="74">
        <v>45964</v>
      </c>
      <c r="EY2" s="74">
        <v>46142</v>
      </c>
      <c r="EZ2" s="78" t="s">
        <v>622</v>
      </c>
      <c r="FA2" s="14" t="s">
        <v>656</v>
      </c>
      <c r="FB2" s="7" t="s">
        <v>75</v>
      </c>
      <c r="FC2" s="74">
        <v>45964</v>
      </c>
      <c r="FD2" s="74">
        <v>46142</v>
      </c>
      <c r="FE2" s="78" t="s">
        <v>622</v>
      </c>
      <c r="FF2" s="14" t="s">
        <v>657</v>
      </c>
      <c r="FG2" s="7" t="s">
        <v>75</v>
      </c>
      <c r="FH2" s="74">
        <v>45964</v>
      </c>
      <c r="FI2" s="74">
        <v>46142</v>
      </c>
      <c r="FJ2" s="78" t="s">
        <v>622</v>
      </c>
      <c r="FK2" s="14" t="s">
        <v>658</v>
      </c>
      <c r="FL2" s="7" t="s">
        <v>75</v>
      </c>
      <c r="FM2" s="74">
        <v>45964</v>
      </c>
      <c r="FN2" s="74">
        <v>46142</v>
      </c>
      <c r="FO2" s="78" t="s">
        <v>622</v>
      </c>
      <c r="FP2" s="14" t="s">
        <v>659</v>
      </c>
      <c r="FQ2" s="7" t="s">
        <v>75</v>
      </c>
      <c r="FR2" s="74">
        <v>45964</v>
      </c>
      <c r="FS2" s="74">
        <v>46142</v>
      </c>
      <c r="FT2" s="78" t="s">
        <v>622</v>
      </c>
      <c r="FU2" s="90"/>
      <c r="FV2" s="90"/>
      <c r="FW2" s="90"/>
    </row>
    <row r="3" spans="1:179">
      <c r="A3" s="89" t="s">
        <v>270</v>
      </c>
      <c r="B3" s="79" t="s">
        <v>660</v>
      </c>
      <c r="C3" s="90" t="s">
        <v>267</v>
      </c>
      <c r="D3" s="90">
        <v>295</v>
      </c>
      <c r="E3" s="90">
        <v>74.05</v>
      </c>
      <c r="F3" s="90">
        <v>269</v>
      </c>
      <c r="G3" s="91">
        <v>251.76999999999998</v>
      </c>
      <c r="H3" s="73" t="s">
        <v>617</v>
      </c>
      <c r="I3" s="90" t="s">
        <v>661</v>
      </c>
      <c r="J3" s="90" t="s">
        <v>648</v>
      </c>
      <c r="K3" s="90" t="s">
        <v>620</v>
      </c>
      <c r="L3" s="90" t="s">
        <v>662</v>
      </c>
      <c r="M3" s="7" t="s">
        <v>94</v>
      </c>
      <c r="N3" s="74">
        <v>45964</v>
      </c>
      <c r="O3" s="74">
        <v>46142</v>
      </c>
      <c r="P3" s="75" t="s">
        <v>622</v>
      </c>
      <c r="Q3" s="90" t="s">
        <v>663</v>
      </c>
      <c r="R3" s="7" t="s">
        <v>94</v>
      </c>
      <c r="S3" s="76">
        <v>46008</v>
      </c>
      <c r="T3" s="76" t="s">
        <v>664</v>
      </c>
      <c r="U3" s="77" t="s">
        <v>622</v>
      </c>
      <c r="V3" s="90" t="s">
        <v>665</v>
      </c>
      <c r="W3" s="7" t="s">
        <v>94</v>
      </c>
      <c r="X3" s="74">
        <v>45964</v>
      </c>
      <c r="Y3" s="74">
        <v>46142</v>
      </c>
      <c r="Z3" s="75" t="s">
        <v>622</v>
      </c>
      <c r="AA3" s="90" t="s">
        <v>666</v>
      </c>
      <c r="AB3" s="7" t="s">
        <v>94</v>
      </c>
      <c r="AC3" s="74">
        <v>45964</v>
      </c>
      <c r="AD3" s="74">
        <v>46142</v>
      </c>
      <c r="AE3" s="75" t="s">
        <v>622</v>
      </c>
      <c r="AF3" s="90" t="s">
        <v>667</v>
      </c>
      <c r="AG3" s="7" t="s">
        <v>94</v>
      </c>
      <c r="AH3" s="74">
        <v>45964</v>
      </c>
      <c r="AI3" s="74">
        <v>46142</v>
      </c>
      <c r="AJ3" s="75" t="s">
        <v>622</v>
      </c>
      <c r="AK3" s="14" t="s">
        <v>668</v>
      </c>
      <c r="AL3" s="90" t="s">
        <v>629</v>
      </c>
      <c r="AM3" s="90" t="s">
        <v>620</v>
      </c>
      <c r="AN3" s="90" t="s">
        <v>669</v>
      </c>
      <c r="AO3" s="7" t="s">
        <v>94</v>
      </c>
      <c r="AP3" s="74">
        <v>45964</v>
      </c>
      <c r="AQ3" s="74">
        <v>46142</v>
      </c>
      <c r="AR3" s="75" t="s">
        <v>622</v>
      </c>
      <c r="AS3" s="90" t="s">
        <v>670</v>
      </c>
      <c r="AT3" s="7" t="s">
        <v>94</v>
      </c>
      <c r="AU3" s="74">
        <v>45964</v>
      </c>
      <c r="AV3" s="74">
        <v>46142</v>
      </c>
      <c r="AW3" s="75" t="s">
        <v>622</v>
      </c>
      <c r="AX3" s="90" t="s">
        <v>671</v>
      </c>
      <c r="AY3" s="7" t="s">
        <v>94</v>
      </c>
      <c r="AZ3" s="74">
        <v>45964</v>
      </c>
      <c r="BA3" s="74">
        <v>46142</v>
      </c>
      <c r="BB3" s="75" t="s">
        <v>622</v>
      </c>
      <c r="BC3" s="90" t="s">
        <v>672</v>
      </c>
      <c r="BD3" s="7" t="s">
        <v>94</v>
      </c>
      <c r="BE3" s="74">
        <v>45964</v>
      </c>
      <c r="BF3" s="74">
        <v>46142</v>
      </c>
      <c r="BG3" s="75" t="s">
        <v>622</v>
      </c>
      <c r="BH3" s="90" t="s">
        <v>673</v>
      </c>
      <c r="BI3" s="7" t="s">
        <v>94</v>
      </c>
      <c r="BJ3" s="74">
        <v>45964</v>
      </c>
      <c r="BK3" s="74">
        <v>46142</v>
      </c>
      <c r="BL3" s="75" t="s">
        <v>622</v>
      </c>
      <c r="BM3" s="90" t="s">
        <v>674</v>
      </c>
      <c r="BN3" s="90" t="s">
        <v>629</v>
      </c>
      <c r="BO3" s="90" t="s">
        <v>620</v>
      </c>
      <c r="BP3" s="90" t="s">
        <v>675</v>
      </c>
      <c r="BQ3" s="7" t="s">
        <v>94</v>
      </c>
      <c r="BR3" s="74">
        <v>45964</v>
      </c>
      <c r="BS3" s="74">
        <v>46142</v>
      </c>
      <c r="BT3" s="75" t="s">
        <v>622</v>
      </c>
      <c r="BU3" s="90" t="s">
        <v>676</v>
      </c>
      <c r="BV3" s="7" t="s">
        <v>94</v>
      </c>
      <c r="BW3" s="74">
        <v>45964</v>
      </c>
      <c r="BX3" s="74">
        <v>46142</v>
      </c>
      <c r="BY3" s="75" t="s">
        <v>622</v>
      </c>
      <c r="BZ3" s="90" t="s">
        <v>677</v>
      </c>
      <c r="CA3" s="7" t="s">
        <v>94</v>
      </c>
      <c r="CB3" s="74">
        <v>45964</v>
      </c>
      <c r="CC3" s="74">
        <v>46142</v>
      </c>
      <c r="CD3" s="75" t="s">
        <v>622</v>
      </c>
      <c r="CE3" s="90" t="s">
        <v>678</v>
      </c>
      <c r="CF3" s="7" t="s">
        <v>94</v>
      </c>
      <c r="CG3" s="74">
        <v>45964</v>
      </c>
      <c r="CH3" s="74">
        <v>46142</v>
      </c>
      <c r="CI3" s="75" t="s">
        <v>622</v>
      </c>
      <c r="CJ3" s="90" t="s">
        <v>679</v>
      </c>
      <c r="CK3" s="7" t="s">
        <v>94</v>
      </c>
      <c r="CL3" s="74">
        <v>45964</v>
      </c>
      <c r="CM3" s="74">
        <v>46142</v>
      </c>
      <c r="CN3" s="75" t="s">
        <v>622</v>
      </c>
      <c r="CO3" s="90" t="s">
        <v>680</v>
      </c>
      <c r="CP3" s="90" t="s">
        <v>629</v>
      </c>
      <c r="CQ3" s="90" t="s">
        <v>620</v>
      </c>
      <c r="CR3" s="90" t="s">
        <v>681</v>
      </c>
      <c r="CS3" s="7" t="s">
        <v>94</v>
      </c>
      <c r="CT3" s="74">
        <v>45964</v>
      </c>
      <c r="CU3" s="74">
        <v>46142</v>
      </c>
      <c r="CV3" s="75" t="s">
        <v>622</v>
      </c>
      <c r="CW3" s="90" t="s">
        <v>682</v>
      </c>
      <c r="CX3" s="7" t="s">
        <v>94</v>
      </c>
      <c r="CY3" s="74">
        <v>45964</v>
      </c>
      <c r="CZ3" s="74">
        <v>46142</v>
      </c>
      <c r="DA3" s="75" t="s">
        <v>622</v>
      </c>
      <c r="DB3" s="90" t="s">
        <v>683</v>
      </c>
      <c r="DC3" s="7" t="s">
        <v>94</v>
      </c>
      <c r="DD3" s="74">
        <v>45964</v>
      </c>
      <c r="DE3" s="74">
        <v>46142</v>
      </c>
      <c r="DF3" s="75" t="s">
        <v>622</v>
      </c>
      <c r="DG3" s="90" t="s">
        <v>684</v>
      </c>
      <c r="DH3" s="7" t="s">
        <v>94</v>
      </c>
      <c r="DI3" s="74">
        <v>45964</v>
      </c>
      <c r="DJ3" s="74">
        <v>46142</v>
      </c>
      <c r="DK3" s="75" t="s">
        <v>622</v>
      </c>
      <c r="DL3" s="90" t="s">
        <v>685</v>
      </c>
      <c r="DM3" s="7" t="s">
        <v>94</v>
      </c>
      <c r="DN3" s="74">
        <v>45964</v>
      </c>
      <c r="DO3" s="74">
        <v>46142</v>
      </c>
      <c r="DP3" s="75" t="s">
        <v>622</v>
      </c>
      <c r="DQ3" s="90" t="s">
        <v>686</v>
      </c>
      <c r="DR3" s="90" t="s">
        <v>648</v>
      </c>
      <c r="DS3" s="90" t="s">
        <v>620</v>
      </c>
      <c r="DT3" s="90" t="s">
        <v>687</v>
      </c>
      <c r="DU3" s="7" t="s">
        <v>94</v>
      </c>
      <c r="DV3" s="74">
        <v>45964</v>
      </c>
      <c r="DW3" s="74">
        <v>46142</v>
      </c>
      <c r="DX3" s="75" t="s">
        <v>622</v>
      </c>
      <c r="DY3" s="90" t="s">
        <v>688</v>
      </c>
      <c r="DZ3" s="7" t="s">
        <v>94</v>
      </c>
      <c r="EA3" s="74">
        <v>45964</v>
      </c>
      <c r="EB3" s="74">
        <v>46142</v>
      </c>
      <c r="EC3" s="75" t="s">
        <v>622</v>
      </c>
      <c r="ED3" s="90" t="s">
        <v>689</v>
      </c>
      <c r="EE3" s="7" t="s">
        <v>94</v>
      </c>
      <c r="EF3" s="74">
        <v>45964</v>
      </c>
      <c r="EG3" s="74">
        <v>46142</v>
      </c>
      <c r="EH3" s="75" t="s">
        <v>622</v>
      </c>
      <c r="EI3" s="90" t="s">
        <v>690</v>
      </c>
      <c r="EJ3" s="7" t="s">
        <v>94</v>
      </c>
      <c r="EK3" s="74">
        <v>45964</v>
      </c>
      <c r="EL3" s="74">
        <v>46142</v>
      </c>
      <c r="EM3" s="75" t="s">
        <v>622</v>
      </c>
      <c r="EN3" s="90" t="s">
        <v>691</v>
      </c>
      <c r="EO3" s="7" t="s">
        <v>94</v>
      </c>
      <c r="EP3" s="74">
        <v>45964</v>
      </c>
      <c r="EQ3" s="74">
        <v>46142</v>
      </c>
      <c r="ER3" s="75" t="s">
        <v>622</v>
      </c>
      <c r="ES3" s="90" t="s">
        <v>692</v>
      </c>
      <c r="ET3" s="90" t="s">
        <v>648</v>
      </c>
      <c r="EU3" s="90" t="s">
        <v>620</v>
      </c>
      <c r="EV3" s="90" t="s">
        <v>693</v>
      </c>
      <c r="EW3" s="7" t="s">
        <v>94</v>
      </c>
      <c r="EX3" s="74">
        <v>45964</v>
      </c>
      <c r="EY3" s="74">
        <v>46142</v>
      </c>
      <c r="EZ3" s="78" t="s">
        <v>622</v>
      </c>
      <c r="FA3" s="90" t="s">
        <v>694</v>
      </c>
      <c r="FB3" s="7" t="s">
        <v>94</v>
      </c>
      <c r="FC3" s="74">
        <v>45964</v>
      </c>
      <c r="FD3" s="74">
        <v>46142</v>
      </c>
      <c r="FE3" s="78" t="s">
        <v>622</v>
      </c>
      <c r="FF3" s="90" t="s">
        <v>695</v>
      </c>
      <c r="FG3" s="7" t="s">
        <v>94</v>
      </c>
      <c r="FH3" s="74">
        <v>45964</v>
      </c>
      <c r="FI3" s="74">
        <v>46142</v>
      </c>
      <c r="FJ3" s="78" t="s">
        <v>622</v>
      </c>
      <c r="FK3" s="90" t="s">
        <v>696</v>
      </c>
      <c r="FL3" s="7" t="s">
        <v>94</v>
      </c>
      <c r="FM3" s="74">
        <v>45964</v>
      </c>
      <c r="FN3" s="74">
        <v>46142</v>
      </c>
      <c r="FO3" s="78" t="s">
        <v>622</v>
      </c>
      <c r="FP3" s="90" t="s">
        <v>697</v>
      </c>
      <c r="FQ3" s="7" t="s">
        <v>94</v>
      </c>
      <c r="FR3" s="74">
        <v>45964</v>
      </c>
      <c r="FS3" s="74">
        <v>46142</v>
      </c>
      <c r="FT3" s="78" t="s">
        <v>622</v>
      </c>
      <c r="FU3" s="90"/>
      <c r="FV3" s="90"/>
      <c r="FW3" s="90"/>
    </row>
    <row r="4" spans="1:179">
      <c r="A4" s="89" t="s">
        <v>112</v>
      </c>
      <c r="B4" s="80" t="s">
        <v>698</v>
      </c>
      <c r="C4" s="90" t="s">
        <v>267</v>
      </c>
      <c r="D4" s="90">
        <f>_xlfn.XLOOKUP(A4,[2]SMB!$D:$D,[2]SMB!$Q:$Q,_xleta.NA,0,1)</f>
        <v>15</v>
      </c>
      <c r="E4" s="90">
        <v>85</v>
      </c>
      <c r="F4" s="90">
        <v>30</v>
      </c>
      <c r="G4" s="91">
        <v>289</v>
      </c>
      <c r="H4" s="73" t="s">
        <v>617</v>
      </c>
      <c r="I4" s="90" t="s">
        <v>699</v>
      </c>
      <c r="J4" s="90" t="s">
        <v>629</v>
      </c>
      <c r="K4" s="90" t="s">
        <v>620</v>
      </c>
      <c r="L4" s="90" t="s">
        <v>700</v>
      </c>
      <c r="M4" s="7" t="s">
        <v>107</v>
      </c>
      <c r="N4" s="74">
        <v>45964</v>
      </c>
      <c r="O4" s="74">
        <v>46142</v>
      </c>
      <c r="P4" s="75" t="s">
        <v>622</v>
      </c>
      <c r="Q4" s="90" t="s">
        <v>701</v>
      </c>
      <c r="R4" s="7" t="s">
        <v>107</v>
      </c>
      <c r="S4" s="76">
        <v>46009</v>
      </c>
      <c r="T4" s="76" t="s">
        <v>702</v>
      </c>
      <c r="U4" s="77" t="s">
        <v>622</v>
      </c>
      <c r="V4" s="92" t="s">
        <v>703</v>
      </c>
      <c r="W4" s="7" t="s">
        <v>107</v>
      </c>
      <c r="X4" s="74">
        <v>45964</v>
      </c>
      <c r="Y4" s="74">
        <v>46142</v>
      </c>
      <c r="Z4" s="75" t="s">
        <v>622</v>
      </c>
      <c r="AA4" s="90" t="s">
        <v>704</v>
      </c>
      <c r="AB4" s="7" t="s">
        <v>107</v>
      </c>
      <c r="AC4" s="74">
        <v>45964</v>
      </c>
      <c r="AD4" s="74">
        <v>46142</v>
      </c>
      <c r="AE4" s="75" t="s">
        <v>622</v>
      </c>
      <c r="AF4" s="90" t="s">
        <v>705</v>
      </c>
      <c r="AG4" s="7" t="s">
        <v>107</v>
      </c>
      <c r="AH4" s="74">
        <v>45964</v>
      </c>
      <c r="AI4" s="74">
        <v>46142</v>
      </c>
      <c r="AJ4" s="75" t="s">
        <v>622</v>
      </c>
      <c r="AK4" s="14" t="s">
        <v>706</v>
      </c>
      <c r="AL4" s="90" t="s">
        <v>648</v>
      </c>
      <c r="AM4" s="90" t="s">
        <v>620</v>
      </c>
      <c r="AN4" s="90" t="s">
        <v>707</v>
      </c>
      <c r="AO4" s="7" t="s">
        <v>107</v>
      </c>
      <c r="AP4" s="74">
        <v>45964</v>
      </c>
      <c r="AQ4" s="74">
        <v>46142</v>
      </c>
      <c r="AR4" s="75" t="s">
        <v>622</v>
      </c>
      <c r="AS4" s="90" t="s">
        <v>708</v>
      </c>
      <c r="AT4" s="7" t="s">
        <v>107</v>
      </c>
      <c r="AU4" s="74">
        <v>45964</v>
      </c>
      <c r="AV4" s="74">
        <v>46142</v>
      </c>
      <c r="AW4" s="75" t="s">
        <v>622</v>
      </c>
      <c r="AX4" s="90" t="s">
        <v>709</v>
      </c>
      <c r="AY4" s="7" t="s">
        <v>107</v>
      </c>
      <c r="AZ4" s="74">
        <v>45964</v>
      </c>
      <c r="BA4" s="74">
        <v>46142</v>
      </c>
      <c r="BB4" s="75" t="s">
        <v>622</v>
      </c>
      <c r="BC4" s="90" t="s">
        <v>710</v>
      </c>
      <c r="BD4" s="7" t="s">
        <v>107</v>
      </c>
      <c r="BE4" s="74">
        <v>45964</v>
      </c>
      <c r="BF4" s="74">
        <v>46142</v>
      </c>
      <c r="BG4" s="75" t="s">
        <v>622</v>
      </c>
      <c r="BH4" s="90" t="s">
        <v>711</v>
      </c>
      <c r="BI4" s="7" t="s">
        <v>107</v>
      </c>
      <c r="BJ4" s="74">
        <v>45964</v>
      </c>
      <c r="BK4" s="74">
        <v>46142</v>
      </c>
      <c r="BL4" s="75" t="s">
        <v>622</v>
      </c>
      <c r="BM4" s="90" t="s">
        <v>712</v>
      </c>
      <c r="BN4" s="90" t="s">
        <v>629</v>
      </c>
      <c r="BO4" s="90" t="s">
        <v>620</v>
      </c>
      <c r="BP4" s="90" t="s">
        <v>713</v>
      </c>
      <c r="BQ4" s="7" t="s">
        <v>107</v>
      </c>
      <c r="BR4" s="74">
        <v>45964</v>
      </c>
      <c r="BS4" s="74">
        <v>46142</v>
      </c>
      <c r="BT4" s="75" t="s">
        <v>622</v>
      </c>
      <c r="BU4" s="90" t="s">
        <v>714</v>
      </c>
      <c r="BV4" s="7" t="s">
        <v>107</v>
      </c>
      <c r="BW4" s="74">
        <v>45964</v>
      </c>
      <c r="BX4" s="74">
        <v>46142</v>
      </c>
      <c r="BY4" s="75" t="s">
        <v>622</v>
      </c>
      <c r="BZ4" s="90" t="s">
        <v>715</v>
      </c>
      <c r="CA4" s="7" t="s">
        <v>107</v>
      </c>
      <c r="CB4" s="74">
        <v>45964</v>
      </c>
      <c r="CC4" s="74">
        <v>46142</v>
      </c>
      <c r="CD4" s="75" t="s">
        <v>622</v>
      </c>
      <c r="CE4" s="90" t="s">
        <v>716</v>
      </c>
      <c r="CF4" s="7" t="s">
        <v>107</v>
      </c>
      <c r="CG4" s="74">
        <v>45964</v>
      </c>
      <c r="CH4" s="74">
        <v>46142</v>
      </c>
      <c r="CI4" s="75" t="s">
        <v>622</v>
      </c>
      <c r="CJ4" s="90" t="s">
        <v>717</v>
      </c>
      <c r="CK4" s="7" t="s">
        <v>107</v>
      </c>
      <c r="CL4" s="74">
        <v>45964</v>
      </c>
      <c r="CM4" s="74">
        <v>46142</v>
      </c>
      <c r="CN4" s="75" t="s">
        <v>622</v>
      </c>
      <c r="CO4" s="90" t="s">
        <v>718</v>
      </c>
      <c r="CP4" s="90" t="s">
        <v>629</v>
      </c>
      <c r="CQ4" s="90" t="s">
        <v>620</v>
      </c>
      <c r="CR4" s="90" t="s">
        <v>719</v>
      </c>
      <c r="CS4" s="7" t="s">
        <v>107</v>
      </c>
      <c r="CT4" s="74">
        <v>45964</v>
      </c>
      <c r="CU4" s="74">
        <v>46142</v>
      </c>
      <c r="CV4" s="75" t="s">
        <v>622</v>
      </c>
      <c r="CW4" s="90" t="s">
        <v>720</v>
      </c>
      <c r="CX4" s="7" t="s">
        <v>107</v>
      </c>
      <c r="CY4" s="74">
        <v>45964</v>
      </c>
      <c r="CZ4" s="74">
        <v>46142</v>
      </c>
      <c r="DA4" s="75" t="s">
        <v>622</v>
      </c>
      <c r="DB4" s="90" t="s">
        <v>721</v>
      </c>
      <c r="DC4" s="7" t="s">
        <v>107</v>
      </c>
      <c r="DD4" s="74">
        <v>45964</v>
      </c>
      <c r="DE4" s="74">
        <v>46142</v>
      </c>
      <c r="DF4" s="75" t="s">
        <v>622</v>
      </c>
      <c r="DG4" s="90" t="s">
        <v>722</v>
      </c>
      <c r="DH4" s="7" t="s">
        <v>107</v>
      </c>
      <c r="DI4" s="74">
        <v>45964</v>
      </c>
      <c r="DJ4" s="74">
        <v>46142</v>
      </c>
      <c r="DK4" s="75" t="s">
        <v>622</v>
      </c>
      <c r="DL4" s="90" t="s">
        <v>723</v>
      </c>
      <c r="DM4" s="7" t="s">
        <v>107</v>
      </c>
      <c r="DN4" s="74">
        <v>45964</v>
      </c>
      <c r="DO4" s="74">
        <v>46142</v>
      </c>
      <c r="DP4" s="75" t="s">
        <v>622</v>
      </c>
      <c r="DQ4" s="90" t="s">
        <v>724</v>
      </c>
      <c r="DR4" s="90" t="s">
        <v>648</v>
      </c>
      <c r="DS4" s="90" t="s">
        <v>620</v>
      </c>
      <c r="DT4" s="90" t="s">
        <v>725</v>
      </c>
      <c r="DU4" s="7" t="s">
        <v>107</v>
      </c>
      <c r="DV4" s="74">
        <v>45964</v>
      </c>
      <c r="DW4" s="74">
        <v>46142</v>
      </c>
      <c r="DX4" s="75" t="s">
        <v>622</v>
      </c>
      <c r="DY4" s="90" t="s">
        <v>726</v>
      </c>
      <c r="DZ4" s="7" t="s">
        <v>107</v>
      </c>
      <c r="EA4" s="74">
        <v>45964</v>
      </c>
      <c r="EB4" s="74">
        <v>46142</v>
      </c>
      <c r="EC4" s="75" t="s">
        <v>622</v>
      </c>
      <c r="ED4" s="90" t="s">
        <v>727</v>
      </c>
      <c r="EE4" s="7" t="s">
        <v>107</v>
      </c>
      <c r="EF4" s="74">
        <v>45964</v>
      </c>
      <c r="EG4" s="74">
        <v>46142</v>
      </c>
      <c r="EH4" s="75" t="s">
        <v>622</v>
      </c>
      <c r="EI4" s="90" t="s">
        <v>728</v>
      </c>
      <c r="EJ4" s="7" t="s">
        <v>107</v>
      </c>
      <c r="EK4" s="74">
        <v>45964</v>
      </c>
      <c r="EL4" s="74">
        <v>46142</v>
      </c>
      <c r="EM4" s="75" t="s">
        <v>622</v>
      </c>
      <c r="EN4" s="90" t="s">
        <v>729</v>
      </c>
      <c r="EO4" s="7" t="s">
        <v>107</v>
      </c>
      <c r="EP4" s="74">
        <v>45964</v>
      </c>
      <c r="EQ4" s="74">
        <v>46142</v>
      </c>
      <c r="ER4" s="75" t="s">
        <v>622</v>
      </c>
      <c r="ES4" s="90" t="s">
        <v>730</v>
      </c>
      <c r="ET4" s="90" t="s">
        <v>629</v>
      </c>
      <c r="EU4" s="90" t="s">
        <v>620</v>
      </c>
      <c r="EV4" s="90" t="s">
        <v>731</v>
      </c>
      <c r="EW4" s="7" t="s">
        <v>107</v>
      </c>
      <c r="EX4" s="74">
        <v>45964</v>
      </c>
      <c r="EY4" s="74">
        <v>46142</v>
      </c>
      <c r="EZ4" s="78" t="s">
        <v>622</v>
      </c>
      <c r="FA4" s="90" t="s">
        <v>732</v>
      </c>
      <c r="FB4" s="7" t="s">
        <v>107</v>
      </c>
      <c r="FC4" s="74">
        <v>45964</v>
      </c>
      <c r="FD4" s="74">
        <v>46142</v>
      </c>
      <c r="FE4" s="78" t="s">
        <v>622</v>
      </c>
      <c r="FF4" s="90" t="s">
        <v>733</v>
      </c>
      <c r="FG4" s="7" t="s">
        <v>107</v>
      </c>
      <c r="FH4" s="74">
        <v>45964</v>
      </c>
      <c r="FI4" s="74">
        <v>46142</v>
      </c>
      <c r="FJ4" s="78" t="s">
        <v>622</v>
      </c>
      <c r="FK4" s="90" t="s">
        <v>734</v>
      </c>
      <c r="FL4" s="7" t="s">
        <v>107</v>
      </c>
      <c r="FM4" s="74">
        <v>45964</v>
      </c>
      <c r="FN4" s="74">
        <v>46142</v>
      </c>
      <c r="FO4" s="78" t="s">
        <v>622</v>
      </c>
      <c r="FP4" s="90" t="s">
        <v>735</v>
      </c>
      <c r="FQ4" s="7" t="s">
        <v>107</v>
      </c>
      <c r="FR4" s="74">
        <v>45964</v>
      </c>
      <c r="FS4" s="74">
        <v>46142</v>
      </c>
      <c r="FT4" s="78" t="s">
        <v>622</v>
      </c>
      <c r="FU4" s="90"/>
      <c r="FV4" s="90"/>
      <c r="FW4" s="90"/>
    </row>
    <row r="5" spans="1:179" ht="24.75" customHeight="1">
      <c r="A5" s="93" t="s">
        <v>736</v>
      </c>
      <c r="B5" s="80" t="s">
        <v>737</v>
      </c>
      <c r="C5" s="90" t="s">
        <v>320</v>
      </c>
      <c r="D5" s="90">
        <f>_xlfn.XLOOKUP(A5,[2]SMB!$D:$D,[2]SMB!$Q:$Q,_xleta.NA,0,1)</f>
        <v>50</v>
      </c>
      <c r="E5" s="90">
        <v>130</v>
      </c>
      <c r="F5" s="90">
        <v>110</v>
      </c>
      <c r="G5" s="91">
        <v>442</v>
      </c>
      <c r="H5" s="73" t="s">
        <v>617</v>
      </c>
      <c r="I5" s="90" t="s">
        <v>738</v>
      </c>
      <c r="J5" s="90" t="s">
        <v>648</v>
      </c>
      <c r="K5" s="90" t="s">
        <v>620</v>
      </c>
      <c r="L5" s="90" t="s">
        <v>739</v>
      </c>
      <c r="M5" s="7" t="s">
        <v>120</v>
      </c>
      <c r="N5" s="74">
        <v>45964</v>
      </c>
      <c r="O5" s="74">
        <v>46142</v>
      </c>
      <c r="P5" s="75" t="s">
        <v>622</v>
      </c>
      <c r="Q5" s="90" t="s">
        <v>740</v>
      </c>
      <c r="R5" s="7" t="s">
        <v>120</v>
      </c>
      <c r="S5" s="76">
        <v>46010</v>
      </c>
      <c r="T5" s="76" t="s">
        <v>741</v>
      </c>
      <c r="U5" s="77" t="s">
        <v>622</v>
      </c>
      <c r="V5" s="90" t="s">
        <v>742</v>
      </c>
      <c r="W5" s="7" t="s">
        <v>120</v>
      </c>
      <c r="X5" s="74">
        <v>45964</v>
      </c>
      <c r="Y5" s="74">
        <v>46142</v>
      </c>
      <c r="Z5" s="75" t="s">
        <v>622</v>
      </c>
      <c r="AA5" s="90" t="s">
        <v>743</v>
      </c>
      <c r="AB5" s="7" t="s">
        <v>120</v>
      </c>
      <c r="AC5" s="74">
        <v>45964</v>
      </c>
      <c r="AD5" s="74">
        <v>46142</v>
      </c>
      <c r="AE5" s="75" t="s">
        <v>622</v>
      </c>
      <c r="AF5" s="90" t="s">
        <v>744</v>
      </c>
      <c r="AG5" s="7" t="s">
        <v>120</v>
      </c>
      <c r="AH5" s="74">
        <v>45964</v>
      </c>
      <c r="AI5" s="74">
        <v>46142</v>
      </c>
      <c r="AJ5" s="75" t="s">
        <v>622</v>
      </c>
      <c r="AK5" s="14" t="s">
        <v>745</v>
      </c>
      <c r="AL5" s="90" t="s">
        <v>629</v>
      </c>
      <c r="AM5" s="90" t="s">
        <v>620</v>
      </c>
      <c r="AN5" s="90" t="s">
        <v>746</v>
      </c>
      <c r="AO5" s="7" t="s">
        <v>120</v>
      </c>
      <c r="AP5" s="74">
        <v>45964</v>
      </c>
      <c r="AQ5" s="74">
        <v>46142</v>
      </c>
      <c r="AR5" s="75" t="s">
        <v>622</v>
      </c>
      <c r="AS5" s="90" t="s">
        <v>747</v>
      </c>
      <c r="AT5" s="7" t="s">
        <v>120</v>
      </c>
      <c r="AU5" s="74">
        <v>45964</v>
      </c>
      <c r="AV5" s="74">
        <v>46142</v>
      </c>
      <c r="AW5" s="75" t="s">
        <v>622</v>
      </c>
      <c r="AX5" s="90" t="s">
        <v>748</v>
      </c>
      <c r="AY5" s="7" t="s">
        <v>120</v>
      </c>
      <c r="AZ5" s="74">
        <v>45964</v>
      </c>
      <c r="BA5" s="74">
        <v>46142</v>
      </c>
      <c r="BB5" s="75" t="s">
        <v>622</v>
      </c>
      <c r="BC5" s="90" t="s">
        <v>749</v>
      </c>
      <c r="BD5" s="7" t="s">
        <v>120</v>
      </c>
      <c r="BE5" s="74">
        <v>45964</v>
      </c>
      <c r="BF5" s="74">
        <v>46142</v>
      </c>
      <c r="BG5" s="75" t="s">
        <v>622</v>
      </c>
      <c r="BH5" s="90" t="s">
        <v>750</v>
      </c>
      <c r="BI5" s="7" t="s">
        <v>120</v>
      </c>
      <c r="BJ5" s="74">
        <v>45964</v>
      </c>
      <c r="BK5" s="74">
        <v>46142</v>
      </c>
      <c r="BL5" s="75" t="s">
        <v>622</v>
      </c>
      <c r="BM5" s="90" t="s">
        <v>751</v>
      </c>
      <c r="BN5" s="90" t="s">
        <v>619</v>
      </c>
      <c r="BO5" s="90" t="s">
        <v>620</v>
      </c>
      <c r="BP5" s="90" t="s">
        <v>752</v>
      </c>
      <c r="BQ5" s="7" t="s">
        <v>120</v>
      </c>
      <c r="BR5" s="74">
        <v>45964</v>
      </c>
      <c r="BS5" s="74">
        <v>46142</v>
      </c>
      <c r="BT5" s="75" t="s">
        <v>622</v>
      </c>
      <c r="BU5" s="90" t="s">
        <v>753</v>
      </c>
      <c r="BV5" s="7" t="s">
        <v>120</v>
      </c>
      <c r="BW5" s="74">
        <v>45964</v>
      </c>
      <c r="BX5" s="74">
        <v>46142</v>
      </c>
      <c r="BY5" s="75" t="s">
        <v>622</v>
      </c>
      <c r="BZ5" s="90" t="s">
        <v>754</v>
      </c>
      <c r="CA5" s="7" t="s">
        <v>120</v>
      </c>
      <c r="CB5" s="74">
        <v>45964</v>
      </c>
      <c r="CC5" s="74">
        <v>46142</v>
      </c>
      <c r="CD5" s="75" t="s">
        <v>622</v>
      </c>
      <c r="CE5" s="90" t="s">
        <v>755</v>
      </c>
      <c r="CF5" s="7" t="s">
        <v>120</v>
      </c>
      <c r="CG5" s="74">
        <v>45964</v>
      </c>
      <c r="CH5" s="74">
        <v>46142</v>
      </c>
      <c r="CI5" s="75" t="s">
        <v>622</v>
      </c>
      <c r="CJ5" s="90" t="s">
        <v>756</v>
      </c>
      <c r="CK5" s="7" t="s">
        <v>120</v>
      </c>
      <c r="CL5" s="74">
        <v>45964</v>
      </c>
      <c r="CM5" s="74">
        <v>46142</v>
      </c>
      <c r="CN5" s="75" t="s">
        <v>622</v>
      </c>
      <c r="CO5" s="90" t="s">
        <v>757</v>
      </c>
      <c r="CP5" s="90" t="s">
        <v>629</v>
      </c>
      <c r="CQ5" s="90" t="s">
        <v>620</v>
      </c>
      <c r="CR5" s="90" t="s">
        <v>758</v>
      </c>
      <c r="CS5" s="7" t="s">
        <v>120</v>
      </c>
      <c r="CT5" s="74">
        <v>45964</v>
      </c>
      <c r="CU5" s="74">
        <v>46142</v>
      </c>
      <c r="CV5" s="75" t="s">
        <v>622</v>
      </c>
      <c r="CW5" s="90" t="s">
        <v>759</v>
      </c>
      <c r="CX5" s="7" t="s">
        <v>120</v>
      </c>
      <c r="CY5" s="74">
        <v>45964</v>
      </c>
      <c r="CZ5" s="74">
        <v>46142</v>
      </c>
      <c r="DA5" s="75" t="s">
        <v>622</v>
      </c>
      <c r="DB5" s="90" t="s">
        <v>760</v>
      </c>
      <c r="DC5" s="7" t="s">
        <v>120</v>
      </c>
      <c r="DD5" s="74">
        <v>45964</v>
      </c>
      <c r="DE5" s="74">
        <v>46142</v>
      </c>
      <c r="DF5" s="75" t="s">
        <v>622</v>
      </c>
      <c r="DG5" s="90" t="s">
        <v>761</v>
      </c>
      <c r="DH5" s="7" t="s">
        <v>120</v>
      </c>
      <c r="DI5" s="74">
        <v>45964</v>
      </c>
      <c r="DJ5" s="74">
        <v>46142</v>
      </c>
      <c r="DK5" s="75" t="s">
        <v>622</v>
      </c>
      <c r="DL5" s="90" t="s">
        <v>762</v>
      </c>
      <c r="DM5" s="7" t="s">
        <v>120</v>
      </c>
      <c r="DN5" s="74">
        <v>45964</v>
      </c>
      <c r="DO5" s="74">
        <v>46142</v>
      </c>
      <c r="DP5" s="75" t="s">
        <v>622</v>
      </c>
      <c r="DQ5" s="90" t="s">
        <v>763</v>
      </c>
      <c r="DR5" s="90" t="s">
        <v>648</v>
      </c>
      <c r="DS5" s="90" t="s">
        <v>620</v>
      </c>
      <c r="DT5" s="90" t="s">
        <v>764</v>
      </c>
      <c r="DU5" s="7" t="s">
        <v>120</v>
      </c>
      <c r="DV5" s="74">
        <v>45964</v>
      </c>
      <c r="DW5" s="74">
        <v>46142</v>
      </c>
      <c r="DX5" s="75" t="s">
        <v>622</v>
      </c>
      <c r="DY5" s="90" t="s">
        <v>765</v>
      </c>
      <c r="DZ5" s="7" t="s">
        <v>120</v>
      </c>
      <c r="EA5" s="74">
        <v>45964</v>
      </c>
      <c r="EB5" s="74">
        <v>46142</v>
      </c>
      <c r="EC5" s="75" t="s">
        <v>622</v>
      </c>
      <c r="ED5" s="90" t="s">
        <v>766</v>
      </c>
      <c r="EE5" s="7" t="s">
        <v>120</v>
      </c>
      <c r="EF5" s="74">
        <v>45964</v>
      </c>
      <c r="EG5" s="74">
        <v>46142</v>
      </c>
      <c r="EH5" s="75" t="s">
        <v>622</v>
      </c>
      <c r="EI5" s="90" t="s">
        <v>767</v>
      </c>
      <c r="EJ5" s="7" t="s">
        <v>120</v>
      </c>
      <c r="EK5" s="74">
        <v>45964</v>
      </c>
      <c r="EL5" s="74">
        <v>46142</v>
      </c>
      <c r="EM5" s="75" t="s">
        <v>622</v>
      </c>
      <c r="EN5" s="90" t="s">
        <v>768</v>
      </c>
      <c r="EO5" s="7" t="s">
        <v>120</v>
      </c>
      <c r="EP5" s="74">
        <v>45964</v>
      </c>
      <c r="EQ5" s="74">
        <v>46142</v>
      </c>
      <c r="ER5" s="75" t="s">
        <v>622</v>
      </c>
      <c r="ES5" s="90" t="s">
        <v>769</v>
      </c>
      <c r="ET5" s="90" t="s">
        <v>629</v>
      </c>
      <c r="EU5" s="90" t="s">
        <v>620</v>
      </c>
      <c r="EV5" s="90" t="s">
        <v>770</v>
      </c>
      <c r="EW5" s="7" t="s">
        <v>120</v>
      </c>
      <c r="EX5" s="74">
        <v>45964</v>
      </c>
      <c r="EY5" s="74">
        <v>46142</v>
      </c>
      <c r="EZ5" s="78" t="s">
        <v>622</v>
      </c>
      <c r="FA5" s="90" t="s">
        <v>771</v>
      </c>
      <c r="FB5" s="7" t="s">
        <v>120</v>
      </c>
      <c r="FC5" s="74">
        <v>45964</v>
      </c>
      <c r="FD5" s="74">
        <v>46142</v>
      </c>
      <c r="FE5" s="78" t="s">
        <v>622</v>
      </c>
      <c r="FF5" s="90" t="s">
        <v>772</v>
      </c>
      <c r="FG5" s="7" t="s">
        <v>120</v>
      </c>
      <c r="FH5" s="74">
        <v>45964</v>
      </c>
      <c r="FI5" s="74">
        <v>46142</v>
      </c>
      <c r="FJ5" s="78" t="s">
        <v>622</v>
      </c>
      <c r="FK5" s="90" t="s">
        <v>773</v>
      </c>
      <c r="FL5" s="7" t="s">
        <v>120</v>
      </c>
      <c r="FM5" s="74">
        <v>45964</v>
      </c>
      <c r="FN5" s="74">
        <v>46142</v>
      </c>
      <c r="FO5" s="78" t="s">
        <v>622</v>
      </c>
      <c r="FP5" s="90" t="s">
        <v>774</v>
      </c>
      <c r="FQ5" s="7" t="s">
        <v>120</v>
      </c>
      <c r="FR5" s="74">
        <v>45964</v>
      </c>
      <c r="FS5" s="74">
        <v>46142</v>
      </c>
      <c r="FT5" s="78" t="s">
        <v>622</v>
      </c>
      <c r="FU5" s="90"/>
      <c r="FV5" s="90"/>
      <c r="FW5" s="90"/>
    </row>
    <row r="6" spans="1:179">
      <c r="A6" s="89" t="s">
        <v>775</v>
      </c>
      <c r="B6" s="72" t="s">
        <v>616</v>
      </c>
      <c r="C6" s="90" t="s">
        <v>320</v>
      </c>
      <c r="D6" s="90">
        <f>_xlfn.XLOOKUP(A6,[2]SMB!$D:$D,[2]SMB!$Q:$Q,_xleta.NA,0,1)</f>
        <v>53</v>
      </c>
      <c r="E6" s="90">
        <v>147</v>
      </c>
      <c r="F6" s="90">
        <v>180</v>
      </c>
      <c r="G6" s="91">
        <v>499.8</v>
      </c>
      <c r="H6" s="73" t="s">
        <v>617</v>
      </c>
      <c r="I6" s="90" t="s">
        <v>776</v>
      </c>
      <c r="J6" s="90" t="s">
        <v>629</v>
      </c>
      <c r="K6" s="90" t="s">
        <v>620</v>
      </c>
      <c r="L6" s="90" t="s">
        <v>777</v>
      </c>
      <c r="M6" s="7" t="s">
        <v>133</v>
      </c>
      <c r="N6" s="74">
        <v>45964</v>
      </c>
      <c r="O6" s="74">
        <v>46142</v>
      </c>
      <c r="P6" s="75" t="s">
        <v>622</v>
      </c>
      <c r="Q6" s="90" t="s">
        <v>778</v>
      </c>
      <c r="R6" s="7" t="s">
        <v>133</v>
      </c>
      <c r="S6" s="76">
        <v>46011</v>
      </c>
      <c r="T6" s="76" t="s">
        <v>779</v>
      </c>
      <c r="U6" s="77" t="s">
        <v>622</v>
      </c>
      <c r="V6" s="90" t="s">
        <v>780</v>
      </c>
      <c r="W6" s="7" t="s">
        <v>133</v>
      </c>
      <c r="X6" s="74">
        <v>45964</v>
      </c>
      <c r="Y6" s="74">
        <v>46142</v>
      </c>
      <c r="Z6" s="75" t="s">
        <v>622</v>
      </c>
      <c r="AA6" s="90" t="s">
        <v>781</v>
      </c>
      <c r="AB6" s="7" t="s">
        <v>133</v>
      </c>
      <c r="AC6" s="74">
        <v>45964</v>
      </c>
      <c r="AD6" s="74">
        <v>46142</v>
      </c>
      <c r="AE6" s="75" t="s">
        <v>622</v>
      </c>
      <c r="AF6" s="90" t="s">
        <v>782</v>
      </c>
      <c r="AG6" s="7" t="s">
        <v>133</v>
      </c>
      <c r="AH6" s="74">
        <v>45964</v>
      </c>
      <c r="AI6" s="74">
        <v>46142</v>
      </c>
      <c r="AJ6" s="75" t="s">
        <v>622</v>
      </c>
      <c r="AK6" s="14" t="s">
        <v>783</v>
      </c>
      <c r="AL6" s="90" t="s">
        <v>629</v>
      </c>
      <c r="AM6" s="90" t="s">
        <v>620</v>
      </c>
      <c r="AN6" s="90" t="s">
        <v>784</v>
      </c>
      <c r="AO6" s="7" t="s">
        <v>133</v>
      </c>
      <c r="AP6" s="74">
        <v>45964</v>
      </c>
      <c r="AQ6" s="74">
        <v>46142</v>
      </c>
      <c r="AR6" s="75" t="s">
        <v>622</v>
      </c>
      <c r="AS6" s="90" t="s">
        <v>785</v>
      </c>
      <c r="AT6" s="7" t="s">
        <v>133</v>
      </c>
      <c r="AU6" s="74">
        <v>45964</v>
      </c>
      <c r="AV6" s="74">
        <v>46142</v>
      </c>
      <c r="AW6" s="75" t="s">
        <v>622</v>
      </c>
      <c r="AX6" s="90" t="s">
        <v>786</v>
      </c>
      <c r="AY6" s="7" t="s">
        <v>133</v>
      </c>
      <c r="AZ6" s="74">
        <v>45964</v>
      </c>
      <c r="BA6" s="74">
        <v>46142</v>
      </c>
      <c r="BB6" s="75" t="s">
        <v>622</v>
      </c>
      <c r="BC6" s="90" t="s">
        <v>787</v>
      </c>
      <c r="BD6" s="7" t="s">
        <v>133</v>
      </c>
      <c r="BE6" s="74">
        <v>45964</v>
      </c>
      <c r="BF6" s="74">
        <v>46142</v>
      </c>
      <c r="BG6" s="75" t="s">
        <v>622</v>
      </c>
      <c r="BH6" s="90" t="s">
        <v>788</v>
      </c>
      <c r="BI6" s="7" t="s">
        <v>133</v>
      </c>
      <c r="BJ6" s="74">
        <v>45964</v>
      </c>
      <c r="BK6" s="74">
        <v>46142</v>
      </c>
      <c r="BL6" s="75" t="s">
        <v>622</v>
      </c>
      <c r="BM6" s="90" t="s">
        <v>789</v>
      </c>
      <c r="BN6" s="90" t="s">
        <v>648</v>
      </c>
      <c r="BO6" s="90" t="s">
        <v>620</v>
      </c>
      <c r="BP6" s="90" t="s">
        <v>790</v>
      </c>
      <c r="BQ6" s="7" t="s">
        <v>133</v>
      </c>
      <c r="BR6" s="74">
        <v>45964</v>
      </c>
      <c r="BS6" s="74">
        <v>46142</v>
      </c>
      <c r="BT6" s="75" t="s">
        <v>622</v>
      </c>
      <c r="BU6" s="90" t="s">
        <v>791</v>
      </c>
      <c r="BV6" s="7" t="s">
        <v>133</v>
      </c>
      <c r="BW6" s="74">
        <v>45964</v>
      </c>
      <c r="BX6" s="74">
        <v>46142</v>
      </c>
      <c r="BY6" s="75" t="s">
        <v>622</v>
      </c>
      <c r="BZ6" s="90" t="s">
        <v>792</v>
      </c>
      <c r="CA6" s="7" t="s">
        <v>133</v>
      </c>
      <c r="CB6" s="74">
        <v>45964</v>
      </c>
      <c r="CC6" s="74">
        <v>46142</v>
      </c>
      <c r="CD6" s="75" t="s">
        <v>622</v>
      </c>
      <c r="CE6" s="90" t="s">
        <v>793</v>
      </c>
      <c r="CF6" s="7" t="s">
        <v>133</v>
      </c>
      <c r="CG6" s="74">
        <v>45964</v>
      </c>
      <c r="CH6" s="74">
        <v>46142</v>
      </c>
      <c r="CI6" s="75" t="s">
        <v>622</v>
      </c>
      <c r="CJ6" s="90" t="s">
        <v>794</v>
      </c>
      <c r="CK6" s="7" t="s">
        <v>133</v>
      </c>
      <c r="CL6" s="74">
        <v>45964</v>
      </c>
      <c r="CM6" s="74">
        <v>46142</v>
      </c>
      <c r="CN6" s="75" t="s">
        <v>622</v>
      </c>
      <c r="CO6" s="90" t="s">
        <v>795</v>
      </c>
      <c r="CP6" s="90" t="s">
        <v>629</v>
      </c>
      <c r="CQ6" s="90" t="s">
        <v>620</v>
      </c>
      <c r="CR6" s="90" t="s">
        <v>796</v>
      </c>
      <c r="CS6" s="7" t="s">
        <v>133</v>
      </c>
      <c r="CT6" s="74">
        <v>45964</v>
      </c>
      <c r="CU6" s="74">
        <v>46142</v>
      </c>
      <c r="CV6" s="75" t="s">
        <v>622</v>
      </c>
      <c r="CW6" s="90" t="s">
        <v>797</v>
      </c>
      <c r="CX6" s="7" t="s">
        <v>133</v>
      </c>
      <c r="CY6" s="74">
        <v>45964</v>
      </c>
      <c r="CZ6" s="74">
        <v>46142</v>
      </c>
      <c r="DA6" s="75" t="s">
        <v>622</v>
      </c>
      <c r="DB6" s="90" t="s">
        <v>798</v>
      </c>
      <c r="DC6" s="7" t="s">
        <v>133</v>
      </c>
      <c r="DD6" s="74">
        <v>45964</v>
      </c>
      <c r="DE6" s="74">
        <v>46142</v>
      </c>
      <c r="DF6" s="75" t="s">
        <v>622</v>
      </c>
      <c r="DG6" s="90" t="s">
        <v>799</v>
      </c>
      <c r="DH6" s="7" t="s">
        <v>133</v>
      </c>
      <c r="DI6" s="74">
        <v>45964</v>
      </c>
      <c r="DJ6" s="74">
        <v>46142</v>
      </c>
      <c r="DK6" s="75" t="s">
        <v>622</v>
      </c>
      <c r="DL6" s="90" t="s">
        <v>800</v>
      </c>
      <c r="DM6" s="7" t="s">
        <v>133</v>
      </c>
      <c r="DN6" s="74">
        <v>45964</v>
      </c>
      <c r="DO6" s="74">
        <v>46142</v>
      </c>
      <c r="DP6" s="75" t="s">
        <v>622</v>
      </c>
      <c r="DQ6" s="90" t="s">
        <v>801</v>
      </c>
      <c r="DR6" s="90" t="s">
        <v>648</v>
      </c>
      <c r="DS6" s="90" t="s">
        <v>620</v>
      </c>
      <c r="DT6" s="90" t="s">
        <v>802</v>
      </c>
      <c r="DU6" s="7" t="s">
        <v>133</v>
      </c>
      <c r="DV6" s="74">
        <v>45964</v>
      </c>
      <c r="DW6" s="74">
        <v>46142</v>
      </c>
      <c r="DX6" s="75" t="s">
        <v>622</v>
      </c>
      <c r="DY6" s="90" t="s">
        <v>728</v>
      </c>
      <c r="DZ6" s="7" t="s">
        <v>133</v>
      </c>
      <c r="EA6" s="74">
        <v>45964</v>
      </c>
      <c r="EB6" s="74">
        <v>46142</v>
      </c>
      <c r="EC6" s="75" t="s">
        <v>622</v>
      </c>
      <c r="ED6" s="90" t="s">
        <v>803</v>
      </c>
      <c r="EE6" s="7" t="s">
        <v>133</v>
      </c>
      <c r="EF6" s="74">
        <v>45964</v>
      </c>
      <c r="EG6" s="74">
        <v>46142</v>
      </c>
      <c r="EH6" s="75" t="s">
        <v>622</v>
      </c>
      <c r="EI6" s="90" t="s">
        <v>804</v>
      </c>
      <c r="EJ6" s="7" t="s">
        <v>133</v>
      </c>
      <c r="EK6" s="74">
        <v>45964</v>
      </c>
      <c r="EL6" s="74">
        <v>46142</v>
      </c>
      <c r="EM6" s="75" t="s">
        <v>622</v>
      </c>
      <c r="EN6" s="90" t="s">
        <v>805</v>
      </c>
      <c r="EO6" s="7" t="s">
        <v>133</v>
      </c>
      <c r="EP6" s="74">
        <v>45964</v>
      </c>
      <c r="EQ6" s="74">
        <v>46142</v>
      </c>
      <c r="ER6" s="75" t="s">
        <v>622</v>
      </c>
      <c r="ES6" s="90" t="s">
        <v>806</v>
      </c>
      <c r="ET6" s="90" t="s">
        <v>648</v>
      </c>
      <c r="EU6" s="90" t="s">
        <v>620</v>
      </c>
      <c r="EV6" s="90" t="s">
        <v>807</v>
      </c>
      <c r="EW6" s="7" t="s">
        <v>133</v>
      </c>
      <c r="EX6" s="74">
        <v>45964</v>
      </c>
      <c r="EY6" s="74">
        <v>46142</v>
      </c>
      <c r="EZ6" s="78" t="s">
        <v>622</v>
      </c>
      <c r="FA6" s="90" t="s">
        <v>808</v>
      </c>
      <c r="FB6" s="7" t="s">
        <v>133</v>
      </c>
      <c r="FC6" s="74">
        <v>45964</v>
      </c>
      <c r="FD6" s="74">
        <v>46142</v>
      </c>
      <c r="FE6" s="78" t="s">
        <v>622</v>
      </c>
      <c r="FF6" s="90" t="s">
        <v>809</v>
      </c>
      <c r="FG6" s="7" t="s">
        <v>133</v>
      </c>
      <c r="FH6" s="74">
        <v>45964</v>
      </c>
      <c r="FI6" s="74">
        <v>46142</v>
      </c>
      <c r="FJ6" s="78" t="s">
        <v>622</v>
      </c>
      <c r="FK6" s="90" t="s">
        <v>810</v>
      </c>
      <c r="FL6" s="7" t="s">
        <v>133</v>
      </c>
      <c r="FM6" s="74">
        <v>45964</v>
      </c>
      <c r="FN6" s="74">
        <v>46142</v>
      </c>
      <c r="FO6" s="78" t="s">
        <v>622</v>
      </c>
      <c r="FP6" s="90" t="s">
        <v>811</v>
      </c>
      <c r="FQ6" s="7" t="s">
        <v>133</v>
      </c>
      <c r="FR6" s="74">
        <v>45964</v>
      </c>
      <c r="FS6" s="74">
        <v>46142</v>
      </c>
      <c r="FT6" s="78" t="s">
        <v>622</v>
      </c>
      <c r="FU6" s="90"/>
      <c r="FV6" s="90"/>
      <c r="FW6" s="90"/>
    </row>
    <row r="7" spans="1:179" ht="30.75">
      <c r="A7" s="89" t="s">
        <v>321</v>
      </c>
      <c r="B7" s="72" t="s">
        <v>812</v>
      </c>
      <c r="C7" s="90" t="s">
        <v>267</v>
      </c>
      <c r="D7" s="90">
        <f>_xlfn.XLOOKUP(A7,[2]SMB!$D:$D,[2]SMB!$Q:$Q,_xleta.NA,0,1)</f>
        <v>47.62</v>
      </c>
      <c r="E7" s="90">
        <v>56.38</v>
      </c>
      <c r="F7" s="90">
        <v>200</v>
      </c>
      <c r="G7" s="91">
        <v>191.69200000000001</v>
      </c>
      <c r="H7" s="73" t="s">
        <v>617</v>
      </c>
      <c r="I7" s="90" t="s">
        <v>813</v>
      </c>
      <c r="J7" s="90" t="s">
        <v>648</v>
      </c>
      <c r="K7" s="90" t="s">
        <v>620</v>
      </c>
      <c r="L7" s="90" t="s">
        <v>814</v>
      </c>
      <c r="M7" s="7" t="s">
        <v>147</v>
      </c>
      <c r="N7" s="74">
        <v>45964</v>
      </c>
      <c r="O7" s="74">
        <v>46142</v>
      </c>
      <c r="P7" s="75" t="s">
        <v>622</v>
      </c>
      <c r="Q7" s="90" t="s">
        <v>815</v>
      </c>
      <c r="R7" s="7" t="s">
        <v>147</v>
      </c>
      <c r="S7" s="76">
        <v>46012</v>
      </c>
      <c r="T7" s="76" t="s">
        <v>816</v>
      </c>
      <c r="U7" s="77" t="s">
        <v>622</v>
      </c>
      <c r="V7" s="90" t="s">
        <v>817</v>
      </c>
      <c r="W7" s="7" t="s">
        <v>147</v>
      </c>
      <c r="X7" s="74">
        <v>45964</v>
      </c>
      <c r="Y7" s="74">
        <v>46142</v>
      </c>
      <c r="Z7" s="75" t="s">
        <v>622</v>
      </c>
      <c r="AA7" s="90" t="s">
        <v>818</v>
      </c>
      <c r="AB7" s="7" t="s">
        <v>147</v>
      </c>
      <c r="AC7" s="74">
        <v>45964</v>
      </c>
      <c r="AD7" s="74">
        <v>46142</v>
      </c>
      <c r="AE7" s="75" t="s">
        <v>622</v>
      </c>
      <c r="AF7" s="90" t="s">
        <v>819</v>
      </c>
      <c r="AG7" s="7" t="s">
        <v>147</v>
      </c>
      <c r="AH7" s="74">
        <v>45964</v>
      </c>
      <c r="AI7" s="74">
        <v>46142</v>
      </c>
      <c r="AJ7" s="75" t="s">
        <v>622</v>
      </c>
      <c r="AK7" s="90" t="s">
        <v>820</v>
      </c>
      <c r="AL7" s="90" t="s">
        <v>629</v>
      </c>
      <c r="AM7" s="90" t="s">
        <v>620</v>
      </c>
      <c r="AN7" s="90" t="s">
        <v>821</v>
      </c>
      <c r="AO7" s="7" t="s">
        <v>147</v>
      </c>
      <c r="AP7" s="74">
        <v>45964</v>
      </c>
      <c r="AQ7" s="74">
        <v>46142</v>
      </c>
      <c r="AR7" s="75" t="s">
        <v>622</v>
      </c>
      <c r="AS7" s="90" t="s">
        <v>822</v>
      </c>
      <c r="AT7" s="7" t="s">
        <v>147</v>
      </c>
      <c r="AU7" s="74">
        <v>45964</v>
      </c>
      <c r="AV7" s="74">
        <v>46142</v>
      </c>
      <c r="AW7" s="75" t="s">
        <v>622</v>
      </c>
      <c r="AX7" s="90" t="s">
        <v>823</v>
      </c>
      <c r="AY7" s="7" t="s">
        <v>147</v>
      </c>
      <c r="AZ7" s="74">
        <v>45964</v>
      </c>
      <c r="BA7" s="74">
        <v>46142</v>
      </c>
      <c r="BB7" s="75" t="s">
        <v>622</v>
      </c>
      <c r="BC7" s="90" t="s">
        <v>824</v>
      </c>
      <c r="BD7" s="7" t="s">
        <v>147</v>
      </c>
      <c r="BE7" s="74">
        <v>45964</v>
      </c>
      <c r="BF7" s="74">
        <v>46142</v>
      </c>
      <c r="BG7" s="75" t="s">
        <v>622</v>
      </c>
      <c r="BH7" s="90" t="s">
        <v>825</v>
      </c>
      <c r="BI7" s="7" t="s">
        <v>147</v>
      </c>
      <c r="BJ7" s="74">
        <v>45964</v>
      </c>
      <c r="BK7" s="74">
        <v>46142</v>
      </c>
      <c r="BL7" s="75" t="s">
        <v>622</v>
      </c>
      <c r="BM7" s="90" t="s">
        <v>826</v>
      </c>
      <c r="BN7" s="90" t="s">
        <v>629</v>
      </c>
      <c r="BO7" s="90" t="s">
        <v>620</v>
      </c>
      <c r="BP7" s="90" t="s">
        <v>827</v>
      </c>
      <c r="BQ7" s="7" t="s">
        <v>147</v>
      </c>
      <c r="BR7" s="74">
        <v>45964</v>
      </c>
      <c r="BS7" s="74">
        <v>46142</v>
      </c>
      <c r="BT7" s="75" t="s">
        <v>622</v>
      </c>
      <c r="BU7" s="90" t="s">
        <v>828</v>
      </c>
      <c r="BV7" s="7" t="s">
        <v>147</v>
      </c>
      <c r="BW7" s="74">
        <v>45964</v>
      </c>
      <c r="BX7" s="74">
        <v>46142</v>
      </c>
      <c r="BY7" s="75" t="s">
        <v>622</v>
      </c>
      <c r="BZ7" s="90" t="s">
        <v>829</v>
      </c>
      <c r="CA7" s="7" t="s">
        <v>147</v>
      </c>
      <c r="CB7" s="74">
        <v>45964</v>
      </c>
      <c r="CC7" s="74">
        <v>46142</v>
      </c>
      <c r="CD7" s="75" t="s">
        <v>622</v>
      </c>
      <c r="CE7" s="90" t="s">
        <v>830</v>
      </c>
      <c r="CF7" s="7" t="s">
        <v>147</v>
      </c>
      <c r="CG7" s="74">
        <v>45964</v>
      </c>
      <c r="CH7" s="74">
        <v>46142</v>
      </c>
      <c r="CI7" s="75" t="s">
        <v>622</v>
      </c>
      <c r="CJ7" s="90" t="s">
        <v>831</v>
      </c>
      <c r="CK7" s="7" t="s">
        <v>147</v>
      </c>
      <c r="CL7" s="74">
        <v>45964</v>
      </c>
      <c r="CM7" s="74">
        <v>46142</v>
      </c>
      <c r="CN7" s="75" t="s">
        <v>622</v>
      </c>
      <c r="CO7" s="90" t="s">
        <v>832</v>
      </c>
      <c r="CP7" s="90" t="s">
        <v>629</v>
      </c>
      <c r="CQ7" s="90" t="s">
        <v>620</v>
      </c>
      <c r="CR7" s="90" t="s">
        <v>833</v>
      </c>
      <c r="CS7" s="7" t="s">
        <v>147</v>
      </c>
      <c r="CT7" s="74">
        <v>45964</v>
      </c>
      <c r="CU7" s="74">
        <v>46142</v>
      </c>
      <c r="CV7" s="75" t="s">
        <v>622</v>
      </c>
      <c r="CW7" s="90" t="s">
        <v>834</v>
      </c>
      <c r="CX7" s="7" t="s">
        <v>147</v>
      </c>
      <c r="CY7" s="74">
        <v>45964</v>
      </c>
      <c r="CZ7" s="74">
        <v>46142</v>
      </c>
      <c r="DA7" s="75" t="s">
        <v>622</v>
      </c>
      <c r="DB7" s="90" t="s">
        <v>835</v>
      </c>
      <c r="DC7" s="7" t="s">
        <v>147</v>
      </c>
      <c r="DD7" s="74">
        <v>45964</v>
      </c>
      <c r="DE7" s="74">
        <v>46142</v>
      </c>
      <c r="DF7" s="75" t="s">
        <v>622</v>
      </c>
      <c r="DG7" s="90" t="s">
        <v>836</v>
      </c>
      <c r="DH7" s="7" t="s">
        <v>147</v>
      </c>
      <c r="DI7" s="74">
        <v>45964</v>
      </c>
      <c r="DJ7" s="74">
        <v>46142</v>
      </c>
      <c r="DK7" s="75" t="s">
        <v>622</v>
      </c>
      <c r="DL7" s="90" t="s">
        <v>837</v>
      </c>
      <c r="DM7" s="7" t="s">
        <v>147</v>
      </c>
      <c r="DN7" s="74">
        <v>45964</v>
      </c>
      <c r="DO7" s="74">
        <v>46142</v>
      </c>
      <c r="DP7" s="75" t="s">
        <v>622</v>
      </c>
      <c r="DQ7" s="90" t="s">
        <v>838</v>
      </c>
      <c r="DR7" s="90" t="s">
        <v>648</v>
      </c>
      <c r="DS7" s="90" t="s">
        <v>620</v>
      </c>
      <c r="DT7" s="90" t="s">
        <v>839</v>
      </c>
      <c r="DU7" s="7" t="s">
        <v>147</v>
      </c>
      <c r="DV7" s="74">
        <v>45964</v>
      </c>
      <c r="DW7" s="74">
        <v>46142</v>
      </c>
      <c r="DX7" s="75" t="s">
        <v>622</v>
      </c>
      <c r="DY7" s="90" t="s">
        <v>840</v>
      </c>
      <c r="DZ7" s="7" t="s">
        <v>147</v>
      </c>
      <c r="EA7" s="74">
        <v>45964</v>
      </c>
      <c r="EB7" s="74">
        <v>46142</v>
      </c>
      <c r="EC7" s="75" t="s">
        <v>622</v>
      </c>
      <c r="ED7" s="90" t="s">
        <v>841</v>
      </c>
      <c r="EE7" s="7" t="s">
        <v>147</v>
      </c>
      <c r="EF7" s="74">
        <v>45964</v>
      </c>
      <c r="EG7" s="74">
        <v>46142</v>
      </c>
      <c r="EH7" s="75" t="s">
        <v>622</v>
      </c>
      <c r="EI7" s="90" t="s">
        <v>842</v>
      </c>
      <c r="EJ7" s="7" t="s">
        <v>147</v>
      </c>
      <c r="EK7" s="74">
        <v>45964</v>
      </c>
      <c r="EL7" s="74">
        <v>46142</v>
      </c>
      <c r="EM7" s="75" t="s">
        <v>622</v>
      </c>
      <c r="EN7" s="90" t="s">
        <v>843</v>
      </c>
      <c r="EO7" s="7" t="s">
        <v>147</v>
      </c>
      <c r="EP7" s="74">
        <v>45964</v>
      </c>
      <c r="EQ7" s="74">
        <v>46142</v>
      </c>
      <c r="ER7" s="75" t="s">
        <v>622</v>
      </c>
      <c r="ES7" s="90" t="s">
        <v>844</v>
      </c>
      <c r="ET7" s="90" t="s">
        <v>648</v>
      </c>
      <c r="EU7" s="90" t="s">
        <v>620</v>
      </c>
      <c r="EV7" s="90" t="s">
        <v>845</v>
      </c>
      <c r="EW7" s="7" t="s">
        <v>147</v>
      </c>
      <c r="EX7" s="74">
        <v>45964</v>
      </c>
      <c r="EY7" s="74">
        <v>46142</v>
      </c>
      <c r="EZ7" s="78" t="s">
        <v>622</v>
      </c>
      <c r="FA7" s="90" t="s">
        <v>846</v>
      </c>
      <c r="FB7" s="7" t="s">
        <v>147</v>
      </c>
      <c r="FC7" s="74">
        <v>45964</v>
      </c>
      <c r="FD7" s="74">
        <v>46142</v>
      </c>
      <c r="FE7" s="78" t="s">
        <v>622</v>
      </c>
      <c r="FF7" s="90" t="s">
        <v>847</v>
      </c>
      <c r="FG7" s="7" t="s">
        <v>147</v>
      </c>
      <c r="FH7" s="74">
        <v>45964</v>
      </c>
      <c r="FI7" s="74">
        <v>46142</v>
      </c>
      <c r="FJ7" s="78" t="s">
        <v>622</v>
      </c>
      <c r="FK7" s="90" t="s">
        <v>848</v>
      </c>
      <c r="FL7" s="7" t="s">
        <v>147</v>
      </c>
      <c r="FM7" s="74">
        <v>45964</v>
      </c>
      <c r="FN7" s="74">
        <v>46142</v>
      </c>
      <c r="FO7" s="78" t="s">
        <v>622</v>
      </c>
      <c r="FP7" s="90" t="s">
        <v>849</v>
      </c>
      <c r="FQ7" s="7" t="s">
        <v>147</v>
      </c>
      <c r="FR7" s="74">
        <v>45964</v>
      </c>
      <c r="FS7" s="74">
        <v>46142</v>
      </c>
      <c r="FT7" s="78" t="s">
        <v>622</v>
      </c>
      <c r="FU7" s="90"/>
      <c r="FV7" s="90"/>
      <c r="FW7" s="90"/>
    </row>
    <row r="8" spans="1:179">
      <c r="A8" s="89" t="s">
        <v>850</v>
      </c>
      <c r="B8" s="80" t="s">
        <v>737</v>
      </c>
      <c r="C8" s="90" t="s">
        <v>320</v>
      </c>
      <c r="D8" s="90">
        <f>_xlfn.XLOOKUP(A8,[2]SMB!$D:$D,[2]SMB!$Q:$Q,_xleta.NA,0,1)</f>
        <v>70</v>
      </c>
      <c r="E8" s="90">
        <v>430</v>
      </c>
      <c r="F8" s="90">
        <v>60</v>
      </c>
      <c r="G8" s="91">
        <v>1462</v>
      </c>
      <c r="H8" s="73" t="s">
        <v>617</v>
      </c>
      <c r="I8" s="90" t="s">
        <v>851</v>
      </c>
      <c r="J8" s="90" t="s">
        <v>648</v>
      </c>
      <c r="K8" s="90" t="s">
        <v>620</v>
      </c>
      <c r="L8" s="90" t="s">
        <v>852</v>
      </c>
      <c r="M8" s="17" t="s">
        <v>161</v>
      </c>
      <c r="N8" s="74">
        <v>45964</v>
      </c>
      <c r="O8" s="74">
        <v>46142</v>
      </c>
      <c r="P8" s="75" t="s">
        <v>622</v>
      </c>
      <c r="Q8" s="90" t="s">
        <v>853</v>
      </c>
      <c r="R8" s="17" t="s">
        <v>161</v>
      </c>
      <c r="S8" s="76">
        <v>46013</v>
      </c>
      <c r="T8" s="76" t="s">
        <v>854</v>
      </c>
      <c r="U8" s="77" t="s">
        <v>622</v>
      </c>
      <c r="V8" s="90" t="s">
        <v>855</v>
      </c>
      <c r="W8" s="17" t="s">
        <v>161</v>
      </c>
      <c r="X8" s="74">
        <v>45964</v>
      </c>
      <c r="Y8" s="74">
        <v>46142</v>
      </c>
      <c r="Z8" s="75" t="s">
        <v>622</v>
      </c>
      <c r="AA8" s="90" t="s">
        <v>856</v>
      </c>
      <c r="AB8" s="17" t="s">
        <v>161</v>
      </c>
      <c r="AC8" s="74">
        <v>45964</v>
      </c>
      <c r="AD8" s="74">
        <v>46142</v>
      </c>
      <c r="AE8" s="75" t="s">
        <v>622</v>
      </c>
      <c r="AF8" s="90" t="s">
        <v>857</v>
      </c>
      <c r="AG8" s="17" t="s">
        <v>161</v>
      </c>
      <c r="AH8" s="74">
        <v>45964</v>
      </c>
      <c r="AI8" s="74">
        <v>46142</v>
      </c>
      <c r="AJ8" s="75" t="s">
        <v>622</v>
      </c>
      <c r="AK8" s="90" t="s">
        <v>858</v>
      </c>
      <c r="AL8" s="90" t="s">
        <v>629</v>
      </c>
      <c r="AM8" s="90" t="s">
        <v>620</v>
      </c>
      <c r="AN8" s="90" t="s">
        <v>859</v>
      </c>
      <c r="AO8" s="17" t="s">
        <v>161</v>
      </c>
      <c r="AP8" s="74">
        <v>45964</v>
      </c>
      <c r="AQ8" s="74">
        <v>46142</v>
      </c>
      <c r="AR8" s="75" t="s">
        <v>622</v>
      </c>
      <c r="AS8" s="90" t="s">
        <v>860</v>
      </c>
      <c r="AT8" s="17" t="s">
        <v>161</v>
      </c>
      <c r="AU8" s="74">
        <v>45964</v>
      </c>
      <c r="AV8" s="74">
        <v>46142</v>
      </c>
      <c r="AW8" s="75" t="s">
        <v>622</v>
      </c>
      <c r="AX8" s="90" t="s">
        <v>861</v>
      </c>
      <c r="AY8" s="17" t="s">
        <v>161</v>
      </c>
      <c r="AZ8" s="74">
        <v>45964</v>
      </c>
      <c r="BA8" s="74">
        <v>46142</v>
      </c>
      <c r="BB8" s="75" t="s">
        <v>622</v>
      </c>
      <c r="BC8" s="90" t="s">
        <v>862</v>
      </c>
      <c r="BD8" s="17" t="s">
        <v>161</v>
      </c>
      <c r="BE8" s="74">
        <v>45964</v>
      </c>
      <c r="BF8" s="74">
        <v>46142</v>
      </c>
      <c r="BG8" s="75" t="s">
        <v>622</v>
      </c>
      <c r="BH8" s="90" t="s">
        <v>863</v>
      </c>
      <c r="BI8" s="17" t="s">
        <v>161</v>
      </c>
      <c r="BJ8" s="74">
        <v>45964</v>
      </c>
      <c r="BK8" s="74">
        <v>46142</v>
      </c>
      <c r="BL8" s="75" t="s">
        <v>622</v>
      </c>
      <c r="BM8" s="90" t="s">
        <v>864</v>
      </c>
      <c r="BN8" s="90" t="s">
        <v>629</v>
      </c>
      <c r="BO8" s="90" t="s">
        <v>620</v>
      </c>
      <c r="BP8" s="90" t="s">
        <v>865</v>
      </c>
      <c r="BQ8" s="17" t="s">
        <v>161</v>
      </c>
      <c r="BR8" s="74">
        <v>45964</v>
      </c>
      <c r="BS8" s="74">
        <v>46142</v>
      </c>
      <c r="BT8" s="75" t="s">
        <v>622</v>
      </c>
      <c r="BU8" s="90" t="s">
        <v>866</v>
      </c>
      <c r="BV8" s="17" t="s">
        <v>161</v>
      </c>
      <c r="BW8" s="74">
        <v>45964</v>
      </c>
      <c r="BX8" s="74">
        <v>46142</v>
      </c>
      <c r="BY8" s="75" t="s">
        <v>622</v>
      </c>
      <c r="BZ8" s="90" t="s">
        <v>867</v>
      </c>
      <c r="CA8" s="17" t="s">
        <v>161</v>
      </c>
      <c r="CB8" s="74">
        <v>45964</v>
      </c>
      <c r="CC8" s="74">
        <v>46142</v>
      </c>
      <c r="CD8" s="75" t="s">
        <v>622</v>
      </c>
      <c r="CE8" s="90" t="s">
        <v>868</v>
      </c>
      <c r="CF8" s="17" t="s">
        <v>161</v>
      </c>
      <c r="CG8" s="74">
        <v>45964</v>
      </c>
      <c r="CH8" s="74">
        <v>46142</v>
      </c>
      <c r="CI8" s="75" t="s">
        <v>622</v>
      </c>
      <c r="CJ8" s="90" t="s">
        <v>869</v>
      </c>
      <c r="CK8" s="17" t="s">
        <v>161</v>
      </c>
      <c r="CL8" s="74">
        <v>45964</v>
      </c>
      <c r="CM8" s="74">
        <v>46142</v>
      </c>
      <c r="CN8" s="75" t="s">
        <v>622</v>
      </c>
      <c r="CO8" s="90" t="s">
        <v>870</v>
      </c>
      <c r="CP8" s="90" t="s">
        <v>629</v>
      </c>
      <c r="CQ8" s="90" t="s">
        <v>620</v>
      </c>
      <c r="CR8" s="90" t="s">
        <v>871</v>
      </c>
      <c r="CS8" s="17" t="s">
        <v>161</v>
      </c>
      <c r="CT8" s="74">
        <v>45964</v>
      </c>
      <c r="CU8" s="74">
        <v>46142</v>
      </c>
      <c r="CV8" s="75" t="s">
        <v>622</v>
      </c>
      <c r="CW8" s="90" t="s">
        <v>872</v>
      </c>
      <c r="CX8" s="17" t="s">
        <v>161</v>
      </c>
      <c r="CY8" s="74">
        <v>45964</v>
      </c>
      <c r="CZ8" s="74">
        <v>46142</v>
      </c>
      <c r="DA8" s="75" t="s">
        <v>622</v>
      </c>
      <c r="DB8" s="90" t="s">
        <v>873</v>
      </c>
      <c r="DC8" s="17" t="s">
        <v>161</v>
      </c>
      <c r="DD8" s="74">
        <v>45964</v>
      </c>
      <c r="DE8" s="74">
        <v>46142</v>
      </c>
      <c r="DF8" s="75" t="s">
        <v>622</v>
      </c>
      <c r="DG8" s="90" t="s">
        <v>874</v>
      </c>
      <c r="DH8" s="17" t="s">
        <v>161</v>
      </c>
      <c r="DI8" s="74">
        <v>45964</v>
      </c>
      <c r="DJ8" s="74">
        <v>46142</v>
      </c>
      <c r="DK8" s="75" t="s">
        <v>622</v>
      </c>
      <c r="DL8" s="90" t="s">
        <v>875</v>
      </c>
      <c r="DM8" s="17" t="s">
        <v>161</v>
      </c>
      <c r="DN8" s="74">
        <v>45964</v>
      </c>
      <c r="DO8" s="74">
        <v>46142</v>
      </c>
      <c r="DP8" s="75" t="s">
        <v>622</v>
      </c>
      <c r="DQ8" s="90" t="s">
        <v>876</v>
      </c>
      <c r="DR8" s="90" t="s">
        <v>648</v>
      </c>
      <c r="DS8" s="90" t="s">
        <v>620</v>
      </c>
      <c r="DT8" s="90" t="s">
        <v>877</v>
      </c>
      <c r="DU8" s="17" t="s">
        <v>161</v>
      </c>
      <c r="DV8" s="74">
        <v>45964</v>
      </c>
      <c r="DW8" s="74">
        <v>46142</v>
      </c>
      <c r="DX8" s="75" t="s">
        <v>622</v>
      </c>
      <c r="DY8" s="90" t="s">
        <v>878</v>
      </c>
      <c r="DZ8" s="17" t="s">
        <v>161</v>
      </c>
      <c r="EA8" s="74">
        <v>45964</v>
      </c>
      <c r="EB8" s="74">
        <v>46142</v>
      </c>
      <c r="EC8" s="75" t="s">
        <v>622</v>
      </c>
      <c r="ED8" s="90" t="s">
        <v>879</v>
      </c>
      <c r="EE8" s="17" t="s">
        <v>161</v>
      </c>
      <c r="EF8" s="74">
        <v>45964</v>
      </c>
      <c r="EG8" s="74">
        <v>46142</v>
      </c>
      <c r="EH8" s="75" t="s">
        <v>622</v>
      </c>
      <c r="EI8" s="90" t="s">
        <v>880</v>
      </c>
      <c r="EJ8" s="17" t="s">
        <v>161</v>
      </c>
      <c r="EK8" s="74">
        <v>45964</v>
      </c>
      <c r="EL8" s="74">
        <v>46142</v>
      </c>
      <c r="EM8" s="75" t="s">
        <v>622</v>
      </c>
      <c r="EN8" s="90" t="s">
        <v>881</v>
      </c>
      <c r="EO8" s="17" t="s">
        <v>161</v>
      </c>
      <c r="EP8" s="74">
        <v>45964</v>
      </c>
      <c r="EQ8" s="74">
        <v>46142</v>
      </c>
      <c r="ER8" s="75" t="s">
        <v>622</v>
      </c>
      <c r="ES8" s="90" t="s">
        <v>882</v>
      </c>
      <c r="ET8" s="90" t="s">
        <v>648</v>
      </c>
      <c r="EU8" s="90" t="s">
        <v>620</v>
      </c>
      <c r="EV8" s="90" t="s">
        <v>883</v>
      </c>
      <c r="EW8" s="17" t="s">
        <v>161</v>
      </c>
      <c r="EX8" s="74">
        <v>45964</v>
      </c>
      <c r="EY8" s="74">
        <v>46142</v>
      </c>
      <c r="EZ8" s="78" t="s">
        <v>622</v>
      </c>
      <c r="FA8" s="90" t="s">
        <v>884</v>
      </c>
      <c r="FB8" s="17" t="s">
        <v>161</v>
      </c>
      <c r="FC8" s="74">
        <v>45964</v>
      </c>
      <c r="FD8" s="74">
        <v>46142</v>
      </c>
      <c r="FE8" s="78" t="s">
        <v>622</v>
      </c>
      <c r="FF8" s="90" t="s">
        <v>885</v>
      </c>
      <c r="FG8" s="17" t="s">
        <v>161</v>
      </c>
      <c r="FH8" s="74">
        <v>45964</v>
      </c>
      <c r="FI8" s="74">
        <v>46142</v>
      </c>
      <c r="FJ8" s="78" t="s">
        <v>622</v>
      </c>
      <c r="FK8" s="90" t="s">
        <v>886</v>
      </c>
      <c r="FL8" s="17" t="s">
        <v>161</v>
      </c>
      <c r="FM8" s="74">
        <v>45964</v>
      </c>
      <c r="FN8" s="74">
        <v>46142</v>
      </c>
      <c r="FO8" s="78" t="s">
        <v>622</v>
      </c>
      <c r="FP8" s="90" t="s">
        <v>887</v>
      </c>
      <c r="FQ8" s="17" t="s">
        <v>161</v>
      </c>
      <c r="FR8" s="74">
        <v>45964</v>
      </c>
      <c r="FS8" s="74">
        <v>46142</v>
      </c>
      <c r="FT8" s="78" t="s">
        <v>622</v>
      </c>
      <c r="FU8" s="90"/>
      <c r="FV8" s="90"/>
      <c r="FW8" s="90"/>
    </row>
    <row r="9" spans="1:179">
      <c r="A9" s="89" t="s">
        <v>888</v>
      </c>
      <c r="B9" s="79" t="s">
        <v>889</v>
      </c>
      <c r="C9" s="90" t="s">
        <v>320</v>
      </c>
      <c r="D9" s="90">
        <f>_xlfn.XLOOKUP(A9,[2]SMB!$D:$D,[2]SMB!$Q:$Q,_xleta.NA,0,1)</f>
        <v>93.4</v>
      </c>
      <c r="E9" s="90">
        <v>186.6</v>
      </c>
      <c r="F9" s="90">
        <v>350</v>
      </c>
      <c r="G9" s="91">
        <v>634.43999999999994</v>
      </c>
      <c r="H9" s="73" t="s">
        <v>617</v>
      </c>
      <c r="I9" s="90" t="s">
        <v>890</v>
      </c>
      <c r="J9" s="90" t="s">
        <v>648</v>
      </c>
      <c r="K9" s="90" t="s">
        <v>620</v>
      </c>
      <c r="L9" s="90" t="s">
        <v>891</v>
      </c>
      <c r="M9" s="7" t="s">
        <v>175</v>
      </c>
      <c r="N9" s="74">
        <v>45964</v>
      </c>
      <c r="O9" s="74">
        <v>46142</v>
      </c>
      <c r="P9" s="75" t="s">
        <v>622</v>
      </c>
      <c r="Q9" s="90" t="s">
        <v>892</v>
      </c>
      <c r="R9" s="7" t="s">
        <v>175</v>
      </c>
      <c r="S9" s="76">
        <v>46014</v>
      </c>
      <c r="T9" s="76" t="s">
        <v>893</v>
      </c>
      <c r="U9" s="77" t="s">
        <v>622</v>
      </c>
      <c r="V9" s="90" t="s">
        <v>894</v>
      </c>
      <c r="W9" s="7" t="s">
        <v>175</v>
      </c>
      <c r="X9" s="74">
        <v>45964</v>
      </c>
      <c r="Y9" s="74">
        <v>46142</v>
      </c>
      <c r="Z9" s="75" t="s">
        <v>622</v>
      </c>
      <c r="AA9" s="90" t="s">
        <v>895</v>
      </c>
      <c r="AB9" s="7" t="s">
        <v>175</v>
      </c>
      <c r="AC9" s="74">
        <v>45964</v>
      </c>
      <c r="AD9" s="74">
        <v>46142</v>
      </c>
      <c r="AE9" s="75" t="s">
        <v>622</v>
      </c>
      <c r="AF9" s="90" t="s">
        <v>896</v>
      </c>
      <c r="AG9" s="7" t="s">
        <v>175</v>
      </c>
      <c r="AH9" s="74">
        <v>45964</v>
      </c>
      <c r="AI9" s="74">
        <v>46142</v>
      </c>
      <c r="AJ9" s="75" t="s">
        <v>622</v>
      </c>
      <c r="AK9" s="90" t="s">
        <v>897</v>
      </c>
      <c r="AL9" s="90" t="s">
        <v>629</v>
      </c>
      <c r="AM9" s="90" t="s">
        <v>620</v>
      </c>
      <c r="AN9" s="90" t="s">
        <v>898</v>
      </c>
      <c r="AO9" s="7" t="s">
        <v>175</v>
      </c>
      <c r="AP9" s="74">
        <v>45964</v>
      </c>
      <c r="AQ9" s="74">
        <v>46142</v>
      </c>
      <c r="AR9" s="75" t="s">
        <v>622</v>
      </c>
      <c r="AS9" s="90" t="s">
        <v>899</v>
      </c>
      <c r="AT9" s="7" t="s">
        <v>175</v>
      </c>
      <c r="AU9" s="74">
        <v>45964</v>
      </c>
      <c r="AV9" s="74">
        <v>46142</v>
      </c>
      <c r="AW9" s="75" t="s">
        <v>622</v>
      </c>
      <c r="AX9" s="90" t="s">
        <v>900</v>
      </c>
      <c r="AY9" s="7" t="s">
        <v>175</v>
      </c>
      <c r="AZ9" s="74">
        <v>45964</v>
      </c>
      <c r="BA9" s="74">
        <v>46142</v>
      </c>
      <c r="BB9" s="75" t="s">
        <v>622</v>
      </c>
      <c r="BC9" s="90" t="s">
        <v>901</v>
      </c>
      <c r="BD9" s="7" t="s">
        <v>175</v>
      </c>
      <c r="BE9" s="74">
        <v>45964</v>
      </c>
      <c r="BF9" s="74">
        <v>46142</v>
      </c>
      <c r="BG9" s="75" t="s">
        <v>622</v>
      </c>
      <c r="BH9" s="90" t="s">
        <v>902</v>
      </c>
      <c r="BI9" s="7" t="s">
        <v>175</v>
      </c>
      <c r="BJ9" s="74">
        <v>45964</v>
      </c>
      <c r="BK9" s="74">
        <v>46142</v>
      </c>
      <c r="BL9" s="75" t="s">
        <v>622</v>
      </c>
      <c r="BM9" s="90" t="s">
        <v>903</v>
      </c>
      <c r="BN9" s="90" t="s">
        <v>648</v>
      </c>
      <c r="BO9" s="90" t="s">
        <v>620</v>
      </c>
      <c r="BP9" s="90" t="s">
        <v>904</v>
      </c>
      <c r="BQ9" s="7" t="s">
        <v>175</v>
      </c>
      <c r="BR9" s="74">
        <v>45964</v>
      </c>
      <c r="BS9" s="74">
        <v>46142</v>
      </c>
      <c r="BT9" s="75" t="s">
        <v>622</v>
      </c>
      <c r="BU9" s="90" t="s">
        <v>905</v>
      </c>
      <c r="BV9" s="7" t="s">
        <v>175</v>
      </c>
      <c r="BW9" s="74">
        <v>45964</v>
      </c>
      <c r="BX9" s="74">
        <v>46142</v>
      </c>
      <c r="BY9" s="75" t="s">
        <v>622</v>
      </c>
      <c r="BZ9" s="90" t="s">
        <v>906</v>
      </c>
      <c r="CA9" s="7" t="s">
        <v>175</v>
      </c>
      <c r="CB9" s="74">
        <v>45964</v>
      </c>
      <c r="CC9" s="74">
        <v>46142</v>
      </c>
      <c r="CD9" s="75" t="s">
        <v>622</v>
      </c>
      <c r="CE9" s="90" t="s">
        <v>907</v>
      </c>
      <c r="CF9" s="7" t="s">
        <v>175</v>
      </c>
      <c r="CG9" s="74">
        <v>45964</v>
      </c>
      <c r="CH9" s="74">
        <v>46142</v>
      </c>
      <c r="CI9" s="75" t="s">
        <v>622</v>
      </c>
      <c r="CJ9" s="90" t="s">
        <v>908</v>
      </c>
      <c r="CK9" s="7" t="s">
        <v>175</v>
      </c>
      <c r="CL9" s="74">
        <v>45964</v>
      </c>
      <c r="CM9" s="74">
        <v>46142</v>
      </c>
      <c r="CN9" s="75" t="s">
        <v>622</v>
      </c>
      <c r="CO9" s="90" t="s">
        <v>909</v>
      </c>
      <c r="CP9" s="90" t="s">
        <v>648</v>
      </c>
      <c r="CQ9" s="90" t="s">
        <v>620</v>
      </c>
      <c r="CR9" s="90" t="s">
        <v>910</v>
      </c>
      <c r="CS9" s="7" t="s">
        <v>175</v>
      </c>
      <c r="CT9" s="74">
        <v>45964</v>
      </c>
      <c r="CU9" s="74">
        <v>46142</v>
      </c>
      <c r="CV9" s="75" t="s">
        <v>622</v>
      </c>
      <c r="CW9" s="90" t="s">
        <v>911</v>
      </c>
      <c r="CX9" s="7" t="s">
        <v>175</v>
      </c>
      <c r="CY9" s="74">
        <v>45964</v>
      </c>
      <c r="CZ9" s="74">
        <v>46142</v>
      </c>
      <c r="DA9" s="75" t="s">
        <v>622</v>
      </c>
      <c r="DB9" s="90" t="s">
        <v>912</v>
      </c>
      <c r="DC9" s="7" t="s">
        <v>175</v>
      </c>
      <c r="DD9" s="74">
        <v>45964</v>
      </c>
      <c r="DE9" s="74">
        <v>46142</v>
      </c>
      <c r="DF9" s="75" t="s">
        <v>622</v>
      </c>
      <c r="DG9" s="90" t="s">
        <v>913</v>
      </c>
      <c r="DH9" s="7" t="s">
        <v>175</v>
      </c>
      <c r="DI9" s="74">
        <v>45964</v>
      </c>
      <c r="DJ9" s="74">
        <v>46142</v>
      </c>
      <c r="DK9" s="75" t="s">
        <v>622</v>
      </c>
      <c r="DL9" s="90" t="s">
        <v>914</v>
      </c>
      <c r="DM9" s="7" t="s">
        <v>175</v>
      </c>
      <c r="DN9" s="74">
        <v>45964</v>
      </c>
      <c r="DO9" s="74">
        <v>46142</v>
      </c>
      <c r="DP9" s="75" t="s">
        <v>622</v>
      </c>
      <c r="DQ9" s="90" t="s">
        <v>915</v>
      </c>
      <c r="DR9" s="90" t="s">
        <v>619</v>
      </c>
      <c r="DS9" s="90" t="s">
        <v>620</v>
      </c>
      <c r="DT9" s="90" t="s">
        <v>916</v>
      </c>
      <c r="DU9" s="7" t="s">
        <v>175</v>
      </c>
      <c r="DV9" s="74">
        <v>45964</v>
      </c>
      <c r="DW9" s="74">
        <v>46142</v>
      </c>
      <c r="DX9" s="75" t="s">
        <v>622</v>
      </c>
      <c r="DY9" s="90" t="s">
        <v>917</v>
      </c>
      <c r="DZ9" s="7" t="s">
        <v>175</v>
      </c>
      <c r="EA9" s="74">
        <v>45964</v>
      </c>
      <c r="EB9" s="74">
        <v>46142</v>
      </c>
      <c r="EC9" s="75" t="s">
        <v>622</v>
      </c>
      <c r="ED9" s="90" t="s">
        <v>918</v>
      </c>
      <c r="EE9" s="7" t="s">
        <v>175</v>
      </c>
      <c r="EF9" s="74">
        <v>45964</v>
      </c>
      <c r="EG9" s="74">
        <v>46142</v>
      </c>
      <c r="EH9" s="75" t="s">
        <v>622</v>
      </c>
      <c r="EI9" s="90" t="s">
        <v>919</v>
      </c>
      <c r="EJ9" s="7" t="s">
        <v>175</v>
      </c>
      <c r="EK9" s="74">
        <v>45964</v>
      </c>
      <c r="EL9" s="74">
        <v>46142</v>
      </c>
      <c r="EM9" s="75" t="s">
        <v>622</v>
      </c>
      <c r="EN9" s="90" t="s">
        <v>920</v>
      </c>
      <c r="EO9" s="7" t="s">
        <v>175</v>
      </c>
      <c r="EP9" s="74">
        <v>45964</v>
      </c>
      <c r="EQ9" s="74">
        <v>46142</v>
      </c>
      <c r="ER9" s="75" t="s">
        <v>622</v>
      </c>
      <c r="ES9" s="90" t="s">
        <v>921</v>
      </c>
      <c r="ET9" s="90" t="s">
        <v>629</v>
      </c>
      <c r="EU9" s="90" t="s">
        <v>620</v>
      </c>
      <c r="EV9" s="90" t="s">
        <v>922</v>
      </c>
      <c r="EW9" s="7" t="s">
        <v>175</v>
      </c>
      <c r="EX9" s="74">
        <v>45964</v>
      </c>
      <c r="EY9" s="74">
        <v>46142</v>
      </c>
      <c r="EZ9" s="78" t="s">
        <v>622</v>
      </c>
      <c r="FA9" s="90" t="s">
        <v>923</v>
      </c>
      <c r="FB9" s="7" t="s">
        <v>175</v>
      </c>
      <c r="FC9" s="74">
        <v>45964</v>
      </c>
      <c r="FD9" s="74">
        <v>46142</v>
      </c>
      <c r="FE9" s="78" t="s">
        <v>622</v>
      </c>
      <c r="FF9" s="90" t="s">
        <v>924</v>
      </c>
      <c r="FG9" s="7" t="s">
        <v>175</v>
      </c>
      <c r="FH9" s="74">
        <v>45964</v>
      </c>
      <c r="FI9" s="74">
        <v>46142</v>
      </c>
      <c r="FJ9" s="78" t="s">
        <v>622</v>
      </c>
      <c r="FK9" s="90" t="s">
        <v>925</v>
      </c>
      <c r="FL9" s="7" t="s">
        <v>175</v>
      </c>
      <c r="FM9" s="74">
        <v>45964</v>
      </c>
      <c r="FN9" s="74">
        <v>46142</v>
      </c>
      <c r="FO9" s="78" t="s">
        <v>622</v>
      </c>
      <c r="FP9" s="90" t="s">
        <v>926</v>
      </c>
      <c r="FQ9" s="7" t="s">
        <v>175</v>
      </c>
      <c r="FR9" s="74">
        <v>45964</v>
      </c>
      <c r="FS9" s="74">
        <v>46142</v>
      </c>
      <c r="FT9" s="78" t="s">
        <v>622</v>
      </c>
      <c r="FU9" s="90"/>
      <c r="FV9" s="90"/>
      <c r="FW9" s="90"/>
    </row>
    <row r="10" spans="1:179">
      <c r="A10" s="89" t="s">
        <v>927</v>
      </c>
      <c r="B10" s="79" t="s">
        <v>928</v>
      </c>
      <c r="C10" s="90" t="s">
        <v>267</v>
      </c>
      <c r="D10" s="90">
        <f>_xlfn.XLOOKUP(A10,[2]SMB!$D:$D,[2]SMB!$Q:$Q,_xleta.NA,0,1)</f>
        <v>90</v>
      </c>
      <c r="E10" s="90">
        <v>60</v>
      </c>
      <c r="F10" s="90">
        <v>18</v>
      </c>
      <c r="G10" s="91">
        <v>204</v>
      </c>
      <c r="H10" s="73" t="s">
        <v>617</v>
      </c>
      <c r="I10" s="90" t="s">
        <v>929</v>
      </c>
      <c r="J10" s="90" t="s">
        <v>648</v>
      </c>
      <c r="K10" s="90" t="s">
        <v>620</v>
      </c>
      <c r="L10" s="90" t="s">
        <v>930</v>
      </c>
      <c r="M10" s="7" t="s">
        <v>188</v>
      </c>
      <c r="N10" s="74">
        <v>45964</v>
      </c>
      <c r="O10" s="74">
        <v>46142</v>
      </c>
      <c r="P10" s="75" t="s">
        <v>622</v>
      </c>
      <c r="Q10" s="90" t="s">
        <v>931</v>
      </c>
      <c r="R10" s="7" t="s">
        <v>188</v>
      </c>
      <c r="S10" s="76">
        <v>46015</v>
      </c>
      <c r="T10" s="76" t="s">
        <v>932</v>
      </c>
      <c r="U10" s="77" t="s">
        <v>622</v>
      </c>
      <c r="V10" s="90" t="s">
        <v>933</v>
      </c>
      <c r="W10" s="7" t="s">
        <v>188</v>
      </c>
      <c r="X10" s="74">
        <v>45964</v>
      </c>
      <c r="Y10" s="74">
        <v>46142</v>
      </c>
      <c r="Z10" s="75" t="s">
        <v>622</v>
      </c>
      <c r="AA10" s="90" t="s">
        <v>934</v>
      </c>
      <c r="AB10" s="7" t="s">
        <v>188</v>
      </c>
      <c r="AC10" s="74">
        <v>45964</v>
      </c>
      <c r="AD10" s="74">
        <v>46142</v>
      </c>
      <c r="AE10" s="75" t="s">
        <v>622</v>
      </c>
      <c r="AF10" s="90" t="s">
        <v>935</v>
      </c>
      <c r="AG10" s="7" t="s">
        <v>188</v>
      </c>
      <c r="AH10" s="74">
        <v>45964</v>
      </c>
      <c r="AI10" s="74">
        <v>46142</v>
      </c>
      <c r="AJ10" s="75" t="s">
        <v>622</v>
      </c>
      <c r="AK10" s="90" t="s">
        <v>936</v>
      </c>
      <c r="AL10" s="90" t="s">
        <v>629</v>
      </c>
      <c r="AM10" s="90" t="s">
        <v>620</v>
      </c>
      <c r="AN10" s="90" t="s">
        <v>937</v>
      </c>
      <c r="AO10" s="7" t="s">
        <v>188</v>
      </c>
      <c r="AP10" s="74">
        <v>45964</v>
      </c>
      <c r="AQ10" s="74">
        <v>46142</v>
      </c>
      <c r="AR10" s="75" t="s">
        <v>622</v>
      </c>
      <c r="AS10" s="90" t="s">
        <v>938</v>
      </c>
      <c r="AT10" s="7" t="s">
        <v>188</v>
      </c>
      <c r="AU10" s="74">
        <v>45964</v>
      </c>
      <c r="AV10" s="74">
        <v>46142</v>
      </c>
      <c r="AW10" s="75" t="s">
        <v>622</v>
      </c>
      <c r="AX10" s="90" t="s">
        <v>939</v>
      </c>
      <c r="AY10" s="7" t="s">
        <v>188</v>
      </c>
      <c r="AZ10" s="74">
        <v>45964</v>
      </c>
      <c r="BA10" s="74">
        <v>46142</v>
      </c>
      <c r="BB10" s="75" t="s">
        <v>622</v>
      </c>
      <c r="BC10" s="90" t="s">
        <v>940</v>
      </c>
      <c r="BD10" s="7" t="s">
        <v>188</v>
      </c>
      <c r="BE10" s="74">
        <v>45964</v>
      </c>
      <c r="BF10" s="74">
        <v>46142</v>
      </c>
      <c r="BG10" s="75" t="s">
        <v>622</v>
      </c>
      <c r="BH10" s="90" t="s">
        <v>941</v>
      </c>
      <c r="BI10" s="7" t="s">
        <v>188</v>
      </c>
      <c r="BJ10" s="74">
        <v>45964</v>
      </c>
      <c r="BK10" s="74">
        <v>46142</v>
      </c>
      <c r="BL10" s="75" t="s">
        <v>622</v>
      </c>
      <c r="BM10" s="90" t="s">
        <v>942</v>
      </c>
      <c r="BN10" s="90" t="s">
        <v>619</v>
      </c>
      <c r="BO10" s="90" t="s">
        <v>620</v>
      </c>
      <c r="BP10" s="90" t="s">
        <v>639</v>
      </c>
      <c r="BQ10" s="7" t="s">
        <v>188</v>
      </c>
      <c r="BR10" s="74">
        <v>45964</v>
      </c>
      <c r="BS10" s="74">
        <v>46142</v>
      </c>
      <c r="BT10" s="75" t="s">
        <v>622</v>
      </c>
      <c r="BU10" s="90" t="s">
        <v>943</v>
      </c>
      <c r="BV10" s="7" t="s">
        <v>188</v>
      </c>
      <c r="BW10" s="74">
        <v>45964</v>
      </c>
      <c r="BX10" s="74">
        <v>46142</v>
      </c>
      <c r="BY10" s="75" t="s">
        <v>622</v>
      </c>
      <c r="BZ10" s="90" t="s">
        <v>944</v>
      </c>
      <c r="CA10" s="7" t="s">
        <v>188</v>
      </c>
      <c r="CB10" s="74">
        <v>45964</v>
      </c>
      <c r="CC10" s="74">
        <v>46142</v>
      </c>
      <c r="CD10" s="75" t="s">
        <v>622</v>
      </c>
      <c r="CE10" s="90" t="s">
        <v>945</v>
      </c>
      <c r="CF10" s="7" t="s">
        <v>188</v>
      </c>
      <c r="CG10" s="74">
        <v>45964</v>
      </c>
      <c r="CH10" s="74">
        <v>46142</v>
      </c>
      <c r="CI10" s="75" t="s">
        <v>622</v>
      </c>
      <c r="CJ10" s="90" t="s">
        <v>946</v>
      </c>
      <c r="CK10" s="7" t="s">
        <v>188</v>
      </c>
      <c r="CL10" s="74">
        <v>45964</v>
      </c>
      <c r="CM10" s="74">
        <v>46142</v>
      </c>
      <c r="CN10" s="75" t="s">
        <v>622</v>
      </c>
      <c r="CO10" s="90" t="s">
        <v>947</v>
      </c>
      <c r="CP10" s="90" t="s">
        <v>629</v>
      </c>
      <c r="CQ10" s="90" t="s">
        <v>620</v>
      </c>
      <c r="CR10" s="90" t="s">
        <v>948</v>
      </c>
      <c r="CS10" s="7" t="s">
        <v>188</v>
      </c>
      <c r="CT10" s="74">
        <v>45964</v>
      </c>
      <c r="CU10" s="74">
        <v>46142</v>
      </c>
      <c r="CV10" s="75" t="s">
        <v>622</v>
      </c>
      <c r="CW10" s="90" t="s">
        <v>949</v>
      </c>
      <c r="CX10" s="7" t="s">
        <v>188</v>
      </c>
      <c r="CY10" s="74">
        <v>45964</v>
      </c>
      <c r="CZ10" s="74">
        <v>46142</v>
      </c>
      <c r="DA10" s="75" t="s">
        <v>622</v>
      </c>
      <c r="DB10" s="90" t="s">
        <v>950</v>
      </c>
      <c r="DC10" s="7" t="s">
        <v>188</v>
      </c>
      <c r="DD10" s="74">
        <v>45964</v>
      </c>
      <c r="DE10" s="74">
        <v>46142</v>
      </c>
      <c r="DF10" s="75" t="s">
        <v>622</v>
      </c>
      <c r="DG10" s="90" t="s">
        <v>951</v>
      </c>
      <c r="DH10" s="7" t="s">
        <v>188</v>
      </c>
      <c r="DI10" s="74">
        <v>45964</v>
      </c>
      <c r="DJ10" s="74">
        <v>46142</v>
      </c>
      <c r="DK10" s="75" t="s">
        <v>622</v>
      </c>
      <c r="DL10" s="90" t="s">
        <v>952</v>
      </c>
      <c r="DM10" s="7" t="s">
        <v>188</v>
      </c>
      <c r="DN10" s="74">
        <v>45964</v>
      </c>
      <c r="DO10" s="74">
        <v>46142</v>
      </c>
      <c r="DP10" s="75" t="s">
        <v>622</v>
      </c>
      <c r="DQ10" s="90" t="s">
        <v>953</v>
      </c>
      <c r="DR10" s="90" t="s">
        <v>648</v>
      </c>
      <c r="DS10" s="90" t="s">
        <v>620</v>
      </c>
      <c r="DT10" s="90" t="s">
        <v>954</v>
      </c>
      <c r="DU10" s="7" t="s">
        <v>188</v>
      </c>
      <c r="DV10" s="74">
        <v>45964</v>
      </c>
      <c r="DW10" s="74">
        <v>46142</v>
      </c>
      <c r="DX10" s="75" t="s">
        <v>622</v>
      </c>
      <c r="DY10" s="90" t="s">
        <v>955</v>
      </c>
      <c r="DZ10" s="7" t="s">
        <v>188</v>
      </c>
      <c r="EA10" s="74">
        <v>45964</v>
      </c>
      <c r="EB10" s="74">
        <v>46142</v>
      </c>
      <c r="EC10" s="75" t="s">
        <v>622</v>
      </c>
      <c r="ED10" s="90" t="s">
        <v>956</v>
      </c>
      <c r="EE10" s="7" t="s">
        <v>188</v>
      </c>
      <c r="EF10" s="74">
        <v>45964</v>
      </c>
      <c r="EG10" s="74">
        <v>46142</v>
      </c>
      <c r="EH10" s="75" t="s">
        <v>622</v>
      </c>
      <c r="EI10" s="90" t="s">
        <v>957</v>
      </c>
      <c r="EJ10" s="7" t="s">
        <v>188</v>
      </c>
      <c r="EK10" s="74">
        <v>45964</v>
      </c>
      <c r="EL10" s="74">
        <v>46142</v>
      </c>
      <c r="EM10" s="75" t="s">
        <v>622</v>
      </c>
      <c r="EN10" s="90" t="s">
        <v>958</v>
      </c>
      <c r="EO10" s="7" t="s">
        <v>188</v>
      </c>
      <c r="EP10" s="74">
        <v>45964</v>
      </c>
      <c r="EQ10" s="74">
        <v>46142</v>
      </c>
      <c r="ER10" s="75" t="s">
        <v>622</v>
      </c>
      <c r="ES10" s="90" t="s">
        <v>959</v>
      </c>
      <c r="ET10" s="90" t="s">
        <v>648</v>
      </c>
      <c r="EU10" s="90" t="s">
        <v>620</v>
      </c>
      <c r="EV10" s="90" t="s">
        <v>960</v>
      </c>
      <c r="EW10" s="7" t="s">
        <v>188</v>
      </c>
      <c r="EX10" s="74">
        <v>45964</v>
      </c>
      <c r="EY10" s="74">
        <v>46142</v>
      </c>
      <c r="EZ10" s="78" t="s">
        <v>622</v>
      </c>
      <c r="FA10" s="90" t="s">
        <v>961</v>
      </c>
      <c r="FB10" s="7" t="s">
        <v>188</v>
      </c>
      <c r="FC10" s="74">
        <v>45964</v>
      </c>
      <c r="FD10" s="74">
        <v>46142</v>
      </c>
      <c r="FE10" s="78" t="s">
        <v>622</v>
      </c>
      <c r="FF10" s="90" t="s">
        <v>962</v>
      </c>
      <c r="FG10" s="7" t="s">
        <v>188</v>
      </c>
      <c r="FH10" s="74">
        <v>45964</v>
      </c>
      <c r="FI10" s="74">
        <v>46142</v>
      </c>
      <c r="FJ10" s="78" t="s">
        <v>622</v>
      </c>
      <c r="FK10" s="90" t="s">
        <v>963</v>
      </c>
      <c r="FL10" s="7" t="s">
        <v>188</v>
      </c>
      <c r="FM10" s="74">
        <v>45964</v>
      </c>
      <c r="FN10" s="74">
        <v>46142</v>
      </c>
      <c r="FO10" s="78" t="s">
        <v>622</v>
      </c>
      <c r="FP10" s="90" t="s">
        <v>964</v>
      </c>
      <c r="FQ10" s="7" t="s">
        <v>188</v>
      </c>
      <c r="FR10" s="74">
        <v>45964</v>
      </c>
      <c r="FS10" s="74">
        <v>46142</v>
      </c>
      <c r="FT10" s="78" t="s">
        <v>622</v>
      </c>
      <c r="FU10" s="90"/>
      <c r="FV10" s="90"/>
      <c r="FW10" s="90"/>
    </row>
    <row r="11" spans="1:179">
      <c r="A11" s="89" t="s">
        <v>965</v>
      </c>
      <c r="B11" s="79" t="s">
        <v>966</v>
      </c>
      <c r="C11" s="90" t="s">
        <v>267</v>
      </c>
      <c r="D11" s="90">
        <f>_xlfn.XLOOKUP(A11,[2]SMB!$D:$D,[2]SMB!$Q:$Q,_xleta.NA,0,1)</f>
        <v>38</v>
      </c>
      <c r="E11" s="90">
        <v>87</v>
      </c>
      <c r="F11" s="90">
        <v>85</v>
      </c>
      <c r="G11" s="91">
        <v>295.8</v>
      </c>
      <c r="H11" s="73" t="s">
        <v>617</v>
      </c>
      <c r="I11" s="90" t="s">
        <v>967</v>
      </c>
      <c r="J11" s="90" t="s">
        <v>648</v>
      </c>
      <c r="K11" s="90" t="s">
        <v>620</v>
      </c>
      <c r="L11" s="90" t="s">
        <v>968</v>
      </c>
      <c r="M11" s="7" t="s">
        <v>199</v>
      </c>
      <c r="N11" s="74">
        <v>45964</v>
      </c>
      <c r="O11" s="74">
        <v>46142</v>
      </c>
      <c r="P11" s="75" t="s">
        <v>622</v>
      </c>
      <c r="Q11" s="90" t="s">
        <v>969</v>
      </c>
      <c r="R11" s="7" t="s">
        <v>199</v>
      </c>
      <c r="S11" s="76">
        <v>46017</v>
      </c>
      <c r="T11" s="76" t="s">
        <v>970</v>
      </c>
      <c r="U11" s="77" t="s">
        <v>622</v>
      </c>
      <c r="V11" s="90" t="s">
        <v>971</v>
      </c>
      <c r="W11" s="7" t="s">
        <v>199</v>
      </c>
      <c r="X11" s="74">
        <v>45964</v>
      </c>
      <c r="Y11" s="74">
        <v>46142</v>
      </c>
      <c r="Z11" s="75" t="s">
        <v>622</v>
      </c>
      <c r="AA11" s="90" t="s">
        <v>972</v>
      </c>
      <c r="AB11" s="7" t="s">
        <v>199</v>
      </c>
      <c r="AC11" s="74">
        <v>45964</v>
      </c>
      <c r="AD11" s="74">
        <v>46142</v>
      </c>
      <c r="AE11" s="75" t="s">
        <v>622</v>
      </c>
      <c r="AF11" s="90" t="s">
        <v>973</v>
      </c>
      <c r="AG11" s="7" t="s">
        <v>199</v>
      </c>
      <c r="AH11" s="74">
        <v>45964</v>
      </c>
      <c r="AI11" s="74">
        <v>46142</v>
      </c>
      <c r="AJ11" s="75" t="s">
        <v>622</v>
      </c>
      <c r="AK11" s="90" t="s">
        <v>974</v>
      </c>
      <c r="AL11" s="90" t="s">
        <v>629</v>
      </c>
      <c r="AM11" s="90" t="s">
        <v>620</v>
      </c>
      <c r="AN11" s="90" t="s">
        <v>975</v>
      </c>
      <c r="AO11" s="7" t="s">
        <v>199</v>
      </c>
      <c r="AP11" s="74">
        <v>45964</v>
      </c>
      <c r="AQ11" s="74">
        <v>46142</v>
      </c>
      <c r="AR11" s="75" t="s">
        <v>622</v>
      </c>
      <c r="AS11" s="90" t="s">
        <v>976</v>
      </c>
      <c r="AT11" s="7" t="s">
        <v>199</v>
      </c>
      <c r="AU11" s="74">
        <v>45964</v>
      </c>
      <c r="AV11" s="74">
        <v>46142</v>
      </c>
      <c r="AW11" s="75" t="s">
        <v>622</v>
      </c>
      <c r="AX11" s="90" t="s">
        <v>977</v>
      </c>
      <c r="AY11" s="7" t="s">
        <v>199</v>
      </c>
      <c r="AZ11" s="74">
        <v>45964</v>
      </c>
      <c r="BA11" s="74">
        <v>46142</v>
      </c>
      <c r="BB11" s="75" t="s">
        <v>622</v>
      </c>
      <c r="BC11" s="90" t="s">
        <v>978</v>
      </c>
      <c r="BD11" s="7" t="s">
        <v>199</v>
      </c>
      <c r="BE11" s="74">
        <v>45964</v>
      </c>
      <c r="BF11" s="74">
        <v>46142</v>
      </c>
      <c r="BG11" s="75" t="s">
        <v>622</v>
      </c>
      <c r="BH11" s="90" t="s">
        <v>979</v>
      </c>
      <c r="BI11" s="7" t="s">
        <v>199</v>
      </c>
      <c r="BJ11" s="74">
        <v>45964</v>
      </c>
      <c r="BK11" s="74">
        <v>46142</v>
      </c>
      <c r="BL11" s="75" t="s">
        <v>622</v>
      </c>
      <c r="BM11" s="90" t="s">
        <v>980</v>
      </c>
      <c r="BN11" s="90" t="s">
        <v>648</v>
      </c>
      <c r="BO11" s="90" t="s">
        <v>620</v>
      </c>
      <c r="BP11" s="90" t="s">
        <v>981</v>
      </c>
      <c r="BQ11" s="7" t="s">
        <v>199</v>
      </c>
      <c r="BR11" s="74">
        <v>45964</v>
      </c>
      <c r="BS11" s="74">
        <v>46142</v>
      </c>
      <c r="BT11" s="75" t="s">
        <v>622</v>
      </c>
      <c r="BU11" s="90" t="s">
        <v>982</v>
      </c>
      <c r="BV11" s="7" t="s">
        <v>199</v>
      </c>
      <c r="BW11" s="74">
        <v>45964</v>
      </c>
      <c r="BX11" s="74">
        <v>46142</v>
      </c>
      <c r="BY11" s="75" t="s">
        <v>622</v>
      </c>
      <c r="BZ11" s="90" t="s">
        <v>983</v>
      </c>
      <c r="CA11" s="7" t="s">
        <v>199</v>
      </c>
      <c r="CB11" s="74">
        <v>45964</v>
      </c>
      <c r="CC11" s="74">
        <v>46142</v>
      </c>
      <c r="CD11" s="75" t="s">
        <v>622</v>
      </c>
      <c r="CE11" s="90" t="s">
        <v>984</v>
      </c>
      <c r="CF11" s="7" t="s">
        <v>199</v>
      </c>
      <c r="CG11" s="74">
        <v>45964</v>
      </c>
      <c r="CH11" s="74">
        <v>46142</v>
      </c>
      <c r="CI11" s="75" t="s">
        <v>622</v>
      </c>
      <c r="CJ11" s="90" t="s">
        <v>985</v>
      </c>
      <c r="CK11" s="7" t="s">
        <v>199</v>
      </c>
      <c r="CL11" s="74">
        <v>45964</v>
      </c>
      <c r="CM11" s="74">
        <v>46142</v>
      </c>
      <c r="CN11" s="75" t="s">
        <v>622</v>
      </c>
      <c r="CO11" s="90" t="s">
        <v>986</v>
      </c>
      <c r="CP11" s="90" t="s">
        <v>629</v>
      </c>
      <c r="CQ11" s="90" t="s">
        <v>620</v>
      </c>
      <c r="CR11" s="90" t="s">
        <v>987</v>
      </c>
      <c r="CS11" s="7" t="s">
        <v>199</v>
      </c>
      <c r="CT11" s="74">
        <v>45964</v>
      </c>
      <c r="CU11" s="74">
        <v>46142</v>
      </c>
      <c r="CV11" s="75" t="s">
        <v>622</v>
      </c>
      <c r="CW11" s="90" t="s">
        <v>988</v>
      </c>
      <c r="CX11" s="7" t="s">
        <v>199</v>
      </c>
      <c r="CY11" s="74">
        <v>45964</v>
      </c>
      <c r="CZ11" s="74">
        <v>46142</v>
      </c>
      <c r="DA11" s="75" t="s">
        <v>622</v>
      </c>
      <c r="DB11" s="90" t="s">
        <v>989</v>
      </c>
      <c r="DC11" s="7" t="s">
        <v>199</v>
      </c>
      <c r="DD11" s="74">
        <v>45964</v>
      </c>
      <c r="DE11" s="74">
        <v>46142</v>
      </c>
      <c r="DF11" s="75" t="s">
        <v>622</v>
      </c>
      <c r="DG11" s="90" t="s">
        <v>990</v>
      </c>
      <c r="DH11" s="7" t="s">
        <v>199</v>
      </c>
      <c r="DI11" s="74">
        <v>45964</v>
      </c>
      <c r="DJ11" s="74">
        <v>46142</v>
      </c>
      <c r="DK11" s="75" t="s">
        <v>622</v>
      </c>
      <c r="DL11" s="90" t="s">
        <v>991</v>
      </c>
      <c r="DM11" s="7" t="s">
        <v>199</v>
      </c>
      <c r="DN11" s="74">
        <v>45964</v>
      </c>
      <c r="DO11" s="74">
        <v>46142</v>
      </c>
      <c r="DP11" s="75" t="s">
        <v>622</v>
      </c>
      <c r="DQ11" s="90" t="s">
        <v>992</v>
      </c>
      <c r="DR11" s="90" t="s">
        <v>648</v>
      </c>
      <c r="DS11" s="90" t="s">
        <v>620</v>
      </c>
      <c r="DT11" s="90" t="s">
        <v>993</v>
      </c>
      <c r="DU11" s="7" t="s">
        <v>199</v>
      </c>
      <c r="DV11" s="74">
        <v>45964</v>
      </c>
      <c r="DW11" s="74">
        <v>46142</v>
      </c>
      <c r="DX11" s="75" t="s">
        <v>622</v>
      </c>
      <c r="DY11" s="90" t="s">
        <v>994</v>
      </c>
      <c r="DZ11" s="7" t="s">
        <v>199</v>
      </c>
      <c r="EA11" s="74">
        <v>45964</v>
      </c>
      <c r="EB11" s="74">
        <v>46142</v>
      </c>
      <c r="EC11" s="75" t="s">
        <v>622</v>
      </c>
      <c r="ED11" s="90" t="s">
        <v>995</v>
      </c>
      <c r="EE11" s="7" t="s">
        <v>199</v>
      </c>
      <c r="EF11" s="74">
        <v>45964</v>
      </c>
      <c r="EG11" s="74">
        <v>46142</v>
      </c>
      <c r="EH11" s="75" t="s">
        <v>622</v>
      </c>
      <c r="EI11" s="90" t="s">
        <v>996</v>
      </c>
      <c r="EJ11" s="7" t="s">
        <v>199</v>
      </c>
      <c r="EK11" s="74">
        <v>45964</v>
      </c>
      <c r="EL11" s="74">
        <v>46142</v>
      </c>
      <c r="EM11" s="75" t="s">
        <v>622</v>
      </c>
      <c r="EN11" s="90" t="s">
        <v>997</v>
      </c>
      <c r="EO11" s="7" t="s">
        <v>199</v>
      </c>
      <c r="EP11" s="74">
        <v>45964</v>
      </c>
      <c r="EQ11" s="74">
        <v>46142</v>
      </c>
      <c r="ER11" s="75" t="s">
        <v>622</v>
      </c>
      <c r="ES11" s="90" t="s">
        <v>998</v>
      </c>
      <c r="ET11" s="90" t="s">
        <v>629</v>
      </c>
      <c r="EU11" s="90" t="s">
        <v>620</v>
      </c>
      <c r="EV11" s="90" t="s">
        <v>999</v>
      </c>
      <c r="EW11" s="7" t="s">
        <v>199</v>
      </c>
      <c r="EX11" s="74">
        <v>45964</v>
      </c>
      <c r="EY11" s="74">
        <v>46142</v>
      </c>
      <c r="EZ11" s="78" t="s">
        <v>622</v>
      </c>
      <c r="FA11" s="90" t="s">
        <v>1000</v>
      </c>
      <c r="FB11" s="7" t="s">
        <v>199</v>
      </c>
      <c r="FC11" s="74">
        <v>45964</v>
      </c>
      <c r="FD11" s="74">
        <v>46142</v>
      </c>
      <c r="FE11" s="78" t="s">
        <v>622</v>
      </c>
      <c r="FF11" s="90" t="s">
        <v>1001</v>
      </c>
      <c r="FG11" s="7" t="s">
        <v>199</v>
      </c>
      <c r="FH11" s="74">
        <v>45964</v>
      </c>
      <c r="FI11" s="74">
        <v>46142</v>
      </c>
      <c r="FJ11" s="78" t="s">
        <v>622</v>
      </c>
      <c r="FK11" s="90" t="s">
        <v>1002</v>
      </c>
      <c r="FL11" s="7" t="s">
        <v>199</v>
      </c>
      <c r="FM11" s="74">
        <v>45964</v>
      </c>
      <c r="FN11" s="74">
        <v>46142</v>
      </c>
      <c r="FO11" s="78" t="s">
        <v>622</v>
      </c>
      <c r="FP11" s="90" t="s">
        <v>1003</v>
      </c>
      <c r="FQ11" s="7" t="s">
        <v>199</v>
      </c>
      <c r="FR11" s="74">
        <v>45964</v>
      </c>
      <c r="FS11" s="74">
        <v>46142</v>
      </c>
      <c r="FT11" s="78" t="s">
        <v>622</v>
      </c>
      <c r="FU11" s="90"/>
      <c r="FV11" s="90"/>
      <c r="FW11" s="90"/>
    </row>
    <row r="12" spans="1:179" ht="18" customHeight="1">
      <c r="A12" s="9" t="s">
        <v>209</v>
      </c>
      <c r="B12" s="72" t="s">
        <v>812</v>
      </c>
      <c r="C12" s="9" t="s">
        <v>267</v>
      </c>
      <c r="D12" s="9">
        <v>22</v>
      </c>
      <c r="E12" s="9">
        <v>9</v>
      </c>
      <c r="F12" s="9">
        <v>20</v>
      </c>
      <c r="G12" s="9">
        <v>31</v>
      </c>
      <c r="H12" s="9" t="s">
        <v>617</v>
      </c>
      <c r="I12" s="44" t="s">
        <v>1004</v>
      </c>
      <c r="J12" s="9" t="s">
        <v>629</v>
      </c>
      <c r="K12" s="9" t="s">
        <v>620</v>
      </c>
      <c r="L12" s="9" t="s">
        <v>1005</v>
      </c>
      <c r="M12" s="9" t="s">
        <v>210</v>
      </c>
      <c r="N12" s="45">
        <v>45964</v>
      </c>
      <c r="O12" s="45">
        <v>46142</v>
      </c>
      <c r="P12" s="45" t="s">
        <v>622</v>
      </c>
      <c r="Q12" s="9" t="s">
        <v>1006</v>
      </c>
      <c r="R12" s="9" t="s">
        <v>210</v>
      </c>
      <c r="S12" s="45">
        <v>46016</v>
      </c>
      <c r="T12" s="45">
        <v>46167</v>
      </c>
      <c r="U12" s="45" t="s">
        <v>622</v>
      </c>
      <c r="V12" s="9" t="s">
        <v>1007</v>
      </c>
      <c r="W12" s="9" t="s">
        <v>210</v>
      </c>
      <c r="X12" s="45">
        <v>45964</v>
      </c>
      <c r="Y12" s="45">
        <v>46142</v>
      </c>
      <c r="Z12" s="45" t="s">
        <v>622</v>
      </c>
      <c r="AA12" s="9" t="s">
        <v>1008</v>
      </c>
      <c r="AB12" s="9" t="s">
        <v>210</v>
      </c>
      <c r="AC12" s="45">
        <v>45964</v>
      </c>
      <c r="AD12" s="45">
        <v>46142</v>
      </c>
      <c r="AE12" s="45" t="s">
        <v>622</v>
      </c>
      <c r="AF12" s="9" t="s">
        <v>1009</v>
      </c>
      <c r="AG12" s="9" t="s">
        <v>210</v>
      </c>
      <c r="AH12" s="45">
        <v>45964</v>
      </c>
      <c r="AI12" s="45">
        <v>46142</v>
      </c>
      <c r="AJ12" s="45" t="s">
        <v>622</v>
      </c>
      <c r="AK12" s="44" t="s">
        <v>1010</v>
      </c>
      <c r="AL12" s="9" t="s">
        <v>629</v>
      </c>
      <c r="AM12" s="9" t="s">
        <v>620</v>
      </c>
      <c r="AN12" s="9" t="s">
        <v>1011</v>
      </c>
      <c r="AO12" s="9" t="s">
        <v>210</v>
      </c>
      <c r="AP12" s="45">
        <v>45964</v>
      </c>
      <c r="AQ12" s="45">
        <v>46142</v>
      </c>
      <c r="AR12" s="45" t="s">
        <v>622</v>
      </c>
      <c r="AS12" s="9" t="s">
        <v>1012</v>
      </c>
      <c r="AT12" s="9" t="s">
        <v>210</v>
      </c>
      <c r="AU12" s="45">
        <v>45964</v>
      </c>
      <c r="AV12" s="45">
        <v>46142</v>
      </c>
      <c r="AW12" s="45" t="s">
        <v>622</v>
      </c>
      <c r="AX12" s="9" t="s">
        <v>1013</v>
      </c>
      <c r="AY12" s="9" t="s">
        <v>210</v>
      </c>
      <c r="AZ12" s="45">
        <v>45964</v>
      </c>
      <c r="BA12" s="45">
        <v>46142</v>
      </c>
      <c r="BB12" s="45" t="s">
        <v>622</v>
      </c>
      <c r="BC12" s="44" t="s">
        <v>1014</v>
      </c>
      <c r="BD12" s="9" t="s">
        <v>210</v>
      </c>
      <c r="BE12" s="45">
        <v>45964</v>
      </c>
      <c r="BF12" s="45">
        <v>46142</v>
      </c>
      <c r="BG12" s="45" t="s">
        <v>622</v>
      </c>
      <c r="BH12" s="9" t="s">
        <v>1015</v>
      </c>
      <c r="BI12" s="9" t="s">
        <v>210</v>
      </c>
      <c r="BJ12" s="45">
        <v>45964</v>
      </c>
      <c r="BK12" s="45">
        <v>46142</v>
      </c>
      <c r="BL12" s="45" t="s">
        <v>622</v>
      </c>
      <c r="BM12" s="44" t="s">
        <v>1016</v>
      </c>
      <c r="BN12" s="9" t="s">
        <v>619</v>
      </c>
      <c r="BO12" s="9" t="s">
        <v>620</v>
      </c>
      <c r="BP12" s="9" t="s">
        <v>1017</v>
      </c>
      <c r="BQ12" s="9" t="s">
        <v>210</v>
      </c>
      <c r="BR12" s="45">
        <v>45964</v>
      </c>
      <c r="BS12" s="45">
        <v>46142</v>
      </c>
      <c r="BT12" s="45" t="s">
        <v>622</v>
      </c>
      <c r="BU12" s="9" t="s">
        <v>1018</v>
      </c>
      <c r="BV12" s="9" t="s">
        <v>210</v>
      </c>
      <c r="BW12" s="45">
        <v>45964</v>
      </c>
      <c r="BX12" s="45">
        <v>46142</v>
      </c>
      <c r="BY12" s="45" t="s">
        <v>622</v>
      </c>
      <c r="BZ12" s="9" t="s">
        <v>1019</v>
      </c>
      <c r="CA12" s="9" t="s">
        <v>210</v>
      </c>
      <c r="CB12" s="45">
        <v>45964</v>
      </c>
      <c r="CC12" s="45">
        <v>46142</v>
      </c>
      <c r="CD12" s="45" t="s">
        <v>622</v>
      </c>
      <c r="CE12" s="9" t="s">
        <v>1020</v>
      </c>
      <c r="CF12" s="9" t="s">
        <v>210</v>
      </c>
      <c r="CG12" s="45">
        <v>45964</v>
      </c>
      <c r="CH12" s="45">
        <v>46142</v>
      </c>
      <c r="CI12" s="45" t="s">
        <v>622</v>
      </c>
      <c r="CJ12" s="9" t="s">
        <v>1021</v>
      </c>
      <c r="CK12" s="9" t="s">
        <v>210</v>
      </c>
      <c r="CL12" s="45">
        <v>45964</v>
      </c>
      <c r="CM12" s="45">
        <v>46142</v>
      </c>
      <c r="CN12" s="45" t="s">
        <v>622</v>
      </c>
      <c r="CO12" s="44" t="s">
        <v>1022</v>
      </c>
      <c r="CP12" s="9" t="s">
        <v>648</v>
      </c>
      <c r="CQ12" s="9" t="s">
        <v>620</v>
      </c>
      <c r="CR12" s="9" t="s">
        <v>1023</v>
      </c>
      <c r="CS12" s="9" t="s">
        <v>210</v>
      </c>
      <c r="CT12" s="45">
        <v>45964</v>
      </c>
      <c r="CU12" s="45">
        <v>46142</v>
      </c>
      <c r="CV12" s="45" t="s">
        <v>622</v>
      </c>
      <c r="CW12" s="9" t="s">
        <v>1024</v>
      </c>
      <c r="CX12" s="9" t="s">
        <v>210</v>
      </c>
      <c r="CY12" s="45">
        <v>45964</v>
      </c>
      <c r="CZ12" s="45">
        <v>46142</v>
      </c>
      <c r="DA12" s="45" t="s">
        <v>622</v>
      </c>
      <c r="DB12" s="9" t="s">
        <v>1025</v>
      </c>
      <c r="DC12" s="9" t="s">
        <v>210</v>
      </c>
      <c r="DD12" s="45">
        <v>45964</v>
      </c>
      <c r="DE12" s="45">
        <v>46142</v>
      </c>
      <c r="DF12" s="45" t="s">
        <v>622</v>
      </c>
      <c r="DG12" s="9" t="s">
        <v>1026</v>
      </c>
      <c r="DH12" s="9" t="s">
        <v>210</v>
      </c>
      <c r="DI12" s="45">
        <v>45964</v>
      </c>
      <c r="DJ12" s="45">
        <v>46142</v>
      </c>
      <c r="DK12" s="45" t="s">
        <v>622</v>
      </c>
      <c r="DL12" s="44" t="s">
        <v>1027</v>
      </c>
      <c r="DM12" s="9" t="s">
        <v>210</v>
      </c>
      <c r="DN12" s="45">
        <v>45964</v>
      </c>
      <c r="DO12" s="45">
        <v>46142</v>
      </c>
      <c r="DP12" s="45" t="s">
        <v>622</v>
      </c>
      <c r="DQ12" s="44" t="s">
        <v>1028</v>
      </c>
      <c r="DR12" s="9" t="s">
        <v>648</v>
      </c>
      <c r="DS12" s="9" t="s">
        <v>620</v>
      </c>
      <c r="DT12" s="9" t="s">
        <v>1029</v>
      </c>
      <c r="DU12" s="9" t="s">
        <v>210</v>
      </c>
      <c r="DV12" s="45">
        <v>45964</v>
      </c>
      <c r="DW12" s="45">
        <v>46142</v>
      </c>
      <c r="DX12" s="45" t="s">
        <v>622</v>
      </c>
      <c r="DY12" s="9" t="s">
        <v>1030</v>
      </c>
      <c r="DZ12" s="9" t="s">
        <v>210</v>
      </c>
      <c r="EA12" s="45">
        <v>45964</v>
      </c>
      <c r="EB12" s="45">
        <v>46142</v>
      </c>
      <c r="EC12" s="45" t="s">
        <v>622</v>
      </c>
      <c r="ED12" s="9" t="s">
        <v>1031</v>
      </c>
      <c r="EE12" s="9" t="s">
        <v>210</v>
      </c>
      <c r="EF12" s="45">
        <v>45964</v>
      </c>
      <c r="EG12" s="45">
        <v>46142</v>
      </c>
      <c r="EH12" s="45" t="s">
        <v>622</v>
      </c>
      <c r="EI12" s="9" t="s">
        <v>1032</v>
      </c>
      <c r="EJ12" s="9" t="s">
        <v>210</v>
      </c>
      <c r="EK12" s="45">
        <v>45964</v>
      </c>
      <c r="EL12" s="45">
        <v>46142</v>
      </c>
      <c r="EM12" s="45" t="s">
        <v>622</v>
      </c>
      <c r="EN12" s="9" t="s">
        <v>1033</v>
      </c>
      <c r="EO12" s="9" t="s">
        <v>210</v>
      </c>
      <c r="EP12" s="45">
        <v>45964</v>
      </c>
      <c r="EQ12" s="45">
        <v>46142</v>
      </c>
      <c r="ER12" s="45" t="s">
        <v>622</v>
      </c>
      <c r="ES12" s="44" t="s">
        <v>1034</v>
      </c>
      <c r="ET12" s="9" t="s">
        <v>648</v>
      </c>
      <c r="EU12" s="9" t="s">
        <v>620</v>
      </c>
      <c r="EV12" s="9" t="s">
        <v>1035</v>
      </c>
      <c r="EW12" s="9" t="s">
        <v>210</v>
      </c>
      <c r="EX12" s="45">
        <v>45964</v>
      </c>
      <c r="EY12" s="45">
        <v>46142</v>
      </c>
      <c r="EZ12" s="45" t="s">
        <v>622</v>
      </c>
      <c r="FA12" s="9" t="s">
        <v>1036</v>
      </c>
      <c r="FB12" s="9" t="s">
        <v>210</v>
      </c>
      <c r="FC12" s="45">
        <v>45964</v>
      </c>
      <c r="FD12" s="45">
        <v>46142</v>
      </c>
      <c r="FE12" s="45" t="s">
        <v>622</v>
      </c>
      <c r="FF12" s="9" t="s">
        <v>1037</v>
      </c>
      <c r="FG12" s="9" t="s">
        <v>210</v>
      </c>
      <c r="FH12" s="45">
        <v>45964</v>
      </c>
      <c r="FI12" s="45">
        <v>46142</v>
      </c>
      <c r="FJ12" s="45" t="s">
        <v>622</v>
      </c>
      <c r="FK12" s="9" t="s">
        <v>1038</v>
      </c>
      <c r="FL12" s="9" t="s">
        <v>210</v>
      </c>
      <c r="FM12" s="45">
        <v>45964</v>
      </c>
      <c r="FN12" s="45">
        <v>46142</v>
      </c>
      <c r="FO12" s="45" t="s">
        <v>622</v>
      </c>
      <c r="FP12" s="9" t="s">
        <v>1039</v>
      </c>
      <c r="FQ12" s="9" t="s">
        <v>210</v>
      </c>
      <c r="FR12" s="45">
        <v>45964</v>
      </c>
      <c r="FS12" s="45">
        <v>46142</v>
      </c>
      <c r="FT12" s="45" t="s">
        <v>622</v>
      </c>
    </row>
    <row r="13" spans="1:179">
      <c r="N13" s="45"/>
      <c r="O13" s="45"/>
      <c r="P13" s="45"/>
      <c r="S13" s="45"/>
      <c r="T13" s="45"/>
      <c r="U13" s="45"/>
      <c r="X13" s="45"/>
      <c r="Y13" s="45"/>
      <c r="Z13" s="45"/>
      <c r="AC13" s="45"/>
      <c r="AD13" s="45"/>
      <c r="AE13" s="45"/>
      <c r="AH13" s="45"/>
      <c r="AI13" s="45"/>
      <c r="AJ13" s="45"/>
      <c r="AP13" s="45"/>
      <c r="AQ13" s="45"/>
      <c r="AR13" s="45"/>
      <c r="AU13" s="45"/>
      <c r="AV13" s="45"/>
      <c r="AW13" s="45"/>
      <c r="AZ13" s="45"/>
      <c r="BA13" s="45"/>
      <c r="BB13" s="45"/>
      <c r="BE13" s="45"/>
      <c r="BF13" s="45"/>
      <c r="BG13" s="45"/>
      <c r="BJ13" s="45"/>
      <c r="BK13" s="45"/>
      <c r="BL13" s="45"/>
      <c r="BR13" s="45"/>
      <c r="BS13" s="45"/>
      <c r="BT13" s="45"/>
      <c r="BW13" s="45"/>
      <c r="BX13" s="45"/>
      <c r="BY13" s="45"/>
      <c r="CB13" s="45"/>
      <c r="CC13" s="45"/>
      <c r="CD13" s="45"/>
      <c r="CG13" s="45"/>
      <c r="CH13" s="45"/>
      <c r="CI13" s="45"/>
      <c r="CL13" s="45"/>
      <c r="CM13" s="45"/>
      <c r="CN13" s="45"/>
      <c r="CT13" s="45"/>
      <c r="CU13" s="45"/>
      <c r="CV13" s="45"/>
      <c r="CY13" s="45"/>
      <c r="CZ13" s="45"/>
      <c r="DA13" s="45"/>
      <c r="DD13" s="45"/>
      <c r="DE13" s="45"/>
      <c r="DF13" s="45"/>
      <c r="DI13" s="45"/>
      <c r="DJ13" s="45"/>
      <c r="DK13" s="45"/>
      <c r="DN13" s="45"/>
      <c r="DO13" s="45"/>
      <c r="DP13" s="45"/>
      <c r="DV13" s="45"/>
      <c r="DW13" s="45"/>
      <c r="DX13" s="45"/>
      <c r="EA13" s="45"/>
      <c r="EB13" s="45"/>
      <c r="EC13" s="45"/>
      <c r="EF13" s="45"/>
      <c r="EG13" s="45"/>
      <c r="EH13" s="45"/>
      <c r="EK13" s="45"/>
      <c r="EL13" s="45"/>
      <c r="EM13" s="45"/>
      <c r="EP13" s="45"/>
      <c r="EQ13" s="45"/>
      <c r="ER13" s="45"/>
      <c r="EX13" s="45"/>
      <c r="EY13" s="45"/>
      <c r="EZ13" s="45"/>
      <c r="FC13" s="45"/>
      <c r="FD13" s="45"/>
      <c r="FE13" s="45"/>
      <c r="FH13" s="45"/>
      <c r="FI13" s="45"/>
      <c r="FJ13" s="45"/>
      <c r="FM13" s="45"/>
      <c r="FN13" s="45"/>
      <c r="FO13" s="45"/>
      <c r="FR13" s="45"/>
      <c r="FS13" s="45"/>
      <c r="FT13" s="45"/>
    </row>
    <row r="14" spans="1:179">
      <c r="N14" s="45"/>
      <c r="O14" s="45"/>
      <c r="P14" s="45"/>
      <c r="S14" s="45"/>
      <c r="T14" s="45"/>
      <c r="U14" s="45"/>
      <c r="X14" s="45"/>
      <c r="Y14" s="45"/>
      <c r="Z14" s="45"/>
      <c r="AC14" s="45"/>
      <c r="AD14" s="45"/>
      <c r="AE14" s="45"/>
      <c r="AH14" s="45"/>
      <c r="AI14" s="45"/>
      <c r="AJ14" s="45"/>
      <c r="AP14" s="45"/>
      <c r="AQ14" s="45"/>
      <c r="AR14" s="45"/>
      <c r="AU14" s="45"/>
      <c r="AV14" s="45"/>
      <c r="AW14" s="45"/>
      <c r="AZ14" s="45"/>
      <c r="BA14" s="45"/>
      <c r="BB14" s="45"/>
      <c r="BE14" s="45"/>
      <c r="BF14" s="45"/>
      <c r="BG14" s="45"/>
      <c r="BJ14" s="45"/>
      <c r="BK14" s="45"/>
      <c r="BL14" s="45"/>
      <c r="BR14" s="45"/>
      <c r="BS14" s="45"/>
      <c r="BT14" s="45"/>
      <c r="BW14" s="45"/>
      <c r="BX14" s="45"/>
      <c r="BY14" s="45"/>
      <c r="CB14" s="45"/>
      <c r="CC14" s="45"/>
      <c r="CD14" s="45"/>
      <c r="CG14" s="45"/>
      <c r="CH14" s="45"/>
      <c r="CI14" s="45"/>
      <c r="CL14" s="45"/>
      <c r="CM14" s="45"/>
      <c r="CN14" s="45"/>
      <c r="CT14" s="45"/>
      <c r="CU14" s="45"/>
      <c r="CV14" s="45"/>
      <c r="CY14" s="45"/>
      <c r="CZ14" s="45"/>
      <c r="DA14" s="45"/>
      <c r="DD14" s="45"/>
      <c r="DE14" s="45"/>
      <c r="DF14" s="45"/>
      <c r="DI14" s="45"/>
      <c r="DJ14" s="45"/>
      <c r="DK14" s="45"/>
      <c r="DN14" s="45"/>
      <c r="DO14" s="45"/>
      <c r="DP14" s="45"/>
      <c r="DV14" s="45"/>
      <c r="DW14" s="45"/>
      <c r="DX14" s="45"/>
      <c r="EA14" s="45"/>
      <c r="EB14" s="45"/>
      <c r="EC14" s="45"/>
      <c r="EF14" s="45"/>
      <c r="EG14" s="45"/>
      <c r="EH14" s="45"/>
      <c r="EK14" s="45"/>
      <c r="EL14" s="45"/>
      <c r="EM14" s="45"/>
      <c r="EP14" s="45"/>
      <c r="EQ14" s="45"/>
      <c r="ER14" s="45"/>
      <c r="EX14" s="45"/>
      <c r="EY14" s="45"/>
      <c r="EZ14" s="45"/>
      <c r="FC14" s="45"/>
      <c r="FD14" s="45"/>
      <c r="FE14" s="45"/>
      <c r="FH14" s="45"/>
      <c r="FI14" s="45"/>
      <c r="FJ14" s="45"/>
      <c r="FM14" s="45"/>
      <c r="FN14" s="45"/>
      <c r="FO14" s="45"/>
      <c r="FR14" s="45"/>
      <c r="FS14" s="45"/>
      <c r="FT14" s="45"/>
    </row>
    <row r="15" spans="1:179">
      <c r="B15" s="72"/>
      <c r="N15" s="45"/>
      <c r="O15" s="45"/>
      <c r="P15" s="45"/>
      <c r="S15" s="45"/>
      <c r="T15" s="45"/>
      <c r="U15" s="45"/>
      <c r="X15" s="45"/>
      <c r="Y15" s="45"/>
      <c r="Z15" s="45"/>
      <c r="AC15" s="45"/>
      <c r="AD15" s="45"/>
      <c r="AE15" s="45"/>
      <c r="AH15" s="45"/>
      <c r="AI15" s="45"/>
      <c r="AJ15" s="45"/>
      <c r="AP15" s="45"/>
      <c r="AQ15" s="45"/>
      <c r="AR15" s="45"/>
      <c r="AU15" s="45"/>
      <c r="AV15" s="45"/>
      <c r="AW15" s="45"/>
      <c r="AZ15" s="45"/>
      <c r="BA15" s="45"/>
      <c r="BB15" s="45"/>
      <c r="BE15" s="45"/>
      <c r="BF15" s="45"/>
      <c r="BG15" s="45"/>
      <c r="BJ15" s="45"/>
      <c r="BK15" s="45"/>
      <c r="BL15" s="45"/>
      <c r="BR15" s="45"/>
      <c r="BS15" s="45"/>
      <c r="BT15" s="45"/>
      <c r="BW15" s="45"/>
      <c r="BX15" s="45"/>
      <c r="BY15" s="45"/>
      <c r="CB15" s="45"/>
      <c r="CC15" s="45"/>
      <c r="CD15" s="45"/>
      <c r="CG15" s="45"/>
      <c r="CH15" s="45"/>
      <c r="CI15" s="45"/>
      <c r="CL15" s="45"/>
      <c r="CM15" s="45"/>
      <c r="CN15" s="45"/>
      <c r="CT15" s="45"/>
      <c r="CU15" s="45"/>
      <c r="CV15" s="45"/>
      <c r="CY15" s="45"/>
      <c r="CZ15" s="45"/>
      <c r="DA15" s="45"/>
      <c r="DD15" s="45"/>
      <c r="DE15" s="45"/>
      <c r="DF15" s="45"/>
      <c r="DI15" s="45"/>
      <c r="DJ15" s="45"/>
      <c r="DK15" s="45"/>
      <c r="DN15" s="45"/>
      <c r="DO15" s="45"/>
      <c r="DP15" s="45"/>
      <c r="DV15" s="45"/>
      <c r="DW15" s="45"/>
      <c r="DX15" s="45"/>
      <c r="EA15" s="45"/>
      <c r="EB15" s="45"/>
      <c r="EC15" s="45"/>
      <c r="EF15" s="45"/>
      <c r="EG15" s="45"/>
      <c r="EH15" s="45"/>
      <c r="EK15" s="45"/>
      <c r="EL15" s="45"/>
      <c r="EM15" s="45"/>
      <c r="EP15" s="45"/>
      <c r="EQ15" s="45"/>
      <c r="ER15" s="45"/>
      <c r="EX15" s="45"/>
      <c r="EY15" s="45"/>
      <c r="EZ15" s="45"/>
      <c r="FC15" s="45"/>
      <c r="FD15" s="45"/>
      <c r="FE15" s="45"/>
      <c r="FH15" s="45"/>
      <c r="FI15" s="45"/>
      <c r="FJ15" s="45"/>
      <c r="FM15" s="45"/>
      <c r="FN15" s="45"/>
      <c r="FO15" s="45"/>
      <c r="FR15" s="45"/>
      <c r="FS15" s="45"/>
      <c r="FT15" s="45"/>
    </row>
    <row r="16" spans="1:179">
      <c r="B16" s="80"/>
      <c r="N16" s="45"/>
      <c r="O16" s="45"/>
      <c r="P16" s="45"/>
      <c r="S16" s="45"/>
      <c r="T16" s="45"/>
      <c r="U16" s="45"/>
      <c r="X16" s="45"/>
      <c r="Y16" s="45"/>
      <c r="Z16" s="45"/>
      <c r="AC16" s="45"/>
      <c r="AD16" s="45"/>
      <c r="AE16" s="45"/>
      <c r="AH16" s="45"/>
      <c r="AI16" s="45"/>
      <c r="AJ16" s="45"/>
      <c r="AP16" s="45"/>
      <c r="AQ16" s="45"/>
      <c r="AR16" s="45"/>
      <c r="AU16" s="45"/>
      <c r="AV16" s="45"/>
      <c r="AW16" s="45"/>
      <c r="AZ16" s="45"/>
      <c r="BA16" s="45"/>
      <c r="BB16" s="45"/>
      <c r="BE16" s="45"/>
      <c r="BF16" s="45"/>
      <c r="BG16" s="45"/>
      <c r="BJ16" s="45"/>
      <c r="BK16" s="45"/>
      <c r="BL16" s="45"/>
      <c r="BR16" s="45"/>
      <c r="BS16" s="45"/>
      <c r="BT16" s="45"/>
      <c r="BW16" s="45"/>
      <c r="BX16" s="45"/>
      <c r="BY16" s="45"/>
      <c r="CB16" s="45"/>
      <c r="CC16" s="45"/>
      <c r="CD16" s="45"/>
      <c r="CG16" s="45"/>
      <c r="CH16" s="45"/>
      <c r="CI16" s="45"/>
      <c r="CL16" s="45"/>
      <c r="CM16" s="45"/>
      <c r="CN16" s="45"/>
      <c r="CT16" s="45"/>
      <c r="CU16" s="45"/>
      <c r="CV16" s="45"/>
      <c r="CY16" s="45"/>
      <c r="CZ16" s="45"/>
      <c r="DA16" s="45"/>
      <c r="DD16" s="45"/>
      <c r="DE16" s="45"/>
      <c r="DF16" s="45"/>
      <c r="DI16" s="45"/>
      <c r="DJ16" s="45"/>
      <c r="DK16" s="45"/>
      <c r="DN16" s="45"/>
      <c r="DO16" s="45"/>
      <c r="DP16" s="45"/>
      <c r="DV16" s="45"/>
      <c r="DW16" s="45"/>
      <c r="DX16" s="45"/>
      <c r="EA16" s="45"/>
      <c r="EB16" s="45"/>
      <c r="EC16" s="45"/>
      <c r="EF16" s="45"/>
      <c r="EG16" s="45"/>
      <c r="EH16" s="45"/>
      <c r="EK16" s="45"/>
      <c r="EL16" s="45"/>
      <c r="EM16" s="45"/>
      <c r="EP16" s="45"/>
      <c r="EQ16" s="45"/>
      <c r="ER16" s="45"/>
      <c r="EX16" s="45"/>
      <c r="EY16" s="45"/>
      <c r="EZ16" s="45"/>
      <c r="FC16" s="45"/>
      <c r="FD16" s="45"/>
      <c r="FE16" s="45"/>
      <c r="FH16" s="45"/>
      <c r="FI16" s="45"/>
      <c r="FJ16" s="45"/>
      <c r="FM16" s="45"/>
      <c r="FN16" s="45"/>
      <c r="FO16" s="45"/>
      <c r="FR16" s="45"/>
      <c r="FS16" s="45"/>
      <c r="FT16" s="45"/>
    </row>
    <row r="17" spans="1:176">
      <c r="B17" s="80"/>
      <c r="N17" s="45"/>
      <c r="O17" s="45"/>
      <c r="P17" s="45"/>
      <c r="S17" s="45"/>
      <c r="T17" s="45"/>
      <c r="U17" s="45"/>
      <c r="X17" s="45"/>
      <c r="Y17" s="45"/>
      <c r="Z17" s="45"/>
      <c r="AC17" s="45"/>
      <c r="AD17" s="45"/>
      <c r="AE17" s="45"/>
      <c r="AH17" s="45"/>
      <c r="AI17" s="45"/>
      <c r="AJ17" s="45"/>
      <c r="AP17" s="45"/>
      <c r="AQ17" s="45"/>
      <c r="AR17" s="45"/>
      <c r="AU17" s="45"/>
      <c r="AV17" s="45"/>
      <c r="AW17" s="45"/>
      <c r="AZ17" s="45"/>
      <c r="BA17" s="45"/>
      <c r="BB17" s="45"/>
      <c r="BE17" s="45"/>
      <c r="BF17" s="45"/>
      <c r="BG17" s="45"/>
      <c r="BJ17" s="45"/>
      <c r="BK17" s="45"/>
      <c r="BL17" s="45"/>
      <c r="BR17" s="45"/>
      <c r="BS17" s="45"/>
      <c r="BT17" s="45"/>
      <c r="BW17" s="45"/>
      <c r="BX17" s="45"/>
      <c r="BY17" s="45"/>
      <c r="CB17" s="45"/>
      <c r="CC17" s="45"/>
      <c r="CD17" s="45"/>
      <c r="CG17" s="45"/>
      <c r="CH17" s="45"/>
      <c r="CI17" s="45"/>
      <c r="CL17" s="45"/>
      <c r="CM17" s="45"/>
      <c r="CN17" s="45"/>
      <c r="CT17" s="45"/>
      <c r="CU17" s="45"/>
      <c r="CV17" s="45"/>
      <c r="CY17" s="45"/>
      <c r="CZ17" s="45"/>
      <c r="DA17" s="45"/>
      <c r="DD17" s="45"/>
      <c r="DE17" s="45"/>
      <c r="DF17" s="45"/>
      <c r="DI17" s="45"/>
      <c r="DJ17" s="45"/>
      <c r="DK17" s="45"/>
      <c r="DN17" s="45"/>
      <c r="DO17" s="45"/>
      <c r="DP17" s="45"/>
      <c r="DV17" s="45"/>
      <c r="DW17" s="45"/>
      <c r="DX17" s="45"/>
      <c r="EA17" s="45"/>
      <c r="EB17" s="45"/>
      <c r="EC17" s="45"/>
      <c r="EF17" s="45"/>
      <c r="EG17" s="45"/>
      <c r="EH17" s="45"/>
      <c r="EK17" s="45"/>
      <c r="EL17" s="45"/>
      <c r="EM17" s="45"/>
      <c r="EP17" s="45"/>
      <c r="EQ17" s="45"/>
      <c r="ER17" s="45"/>
      <c r="EX17" s="45"/>
      <c r="EY17" s="45"/>
      <c r="EZ17" s="45"/>
      <c r="FC17" s="45"/>
      <c r="FD17" s="45"/>
      <c r="FE17" s="45"/>
      <c r="FH17" s="45"/>
      <c r="FI17" s="45"/>
      <c r="FJ17" s="45"/>
      <c r="FM17" s="45"/>
      <c r="FN17" s="45"/>
      <c r="FO17" s="45"/>
      <c r="FR17" s="45"/>
      <c r="FS17" s="45"/>
      <c r="FT17" s="45"/>
    </row>
    <row r="18" spans="1:176">
      <c r="B18" s="72"/>
      <c r="N18" s="45"/>
      <c r="O18" s="45"/>
      <c r="P18" s="45"/>
      <c r="S18" s="45"/>
      <c r="T18" s="45"/>
      <c r="U18" s="45"/>
      <c r="X18" s="45"/>
      <c r="Y18" s="45"/>
      <c r="Z18" s="45"/>
      <c r="AC18" s="45"/>
      <c r="AD18" s="45"/>
      <c r="AE18" s="45"/>
      <c r="AH18" s="45"/>
      <c r="AI18" s="45"/>
      <c r="AJ18" s="45"/>
      <c r="AP18" s="45"/>
      <c r="AQ18" s="45"/>
      <c r="AR18" s="45"/>
      <c r="AU18" s="45"/>
      <c r="AV18" s="45"/>
      <c r="AW18" s="45"/>
      <c r="AZ18" s="45"/>
      <c r="BA18" s="45"/>
      <c r="BB18" s="45"/>
      <c r="BE18" s="45"/>
      <c r="BF18" s="45"/>
      <c r="BG18" s="45"/>
      <c r="BJ18" s="45"/>
      <c r="BK18" s="45"/>
      <c r="BL18" s="45"/>
      <c r="BR18" s="45"/>
      <c r="BS18" s="45"/>
      <c r="BT18" s="45"/>
      <c r="BW18" s="45"/>
      <c r="BX18" s="45"/>
      <c r="BY18" s="45"/>
      <c r="CB18" s="45"/>
      <c r="CC18" s="45"/>
      <c r="CD18" s="45"/>
      <c r="CG18" s="45"/>
      <c r="CH18" s="45"/>
      <c r="CI18" s="45"/>
      <c r="CL18" s="45"/>
      <c r="CM18" s="45"/>
      <c r="CN18" s="45"/>
      <c r="CT18" s="45"/>
      <c r="CU18" s="45"/>
      <c r="CV18" s="45"/>
      <c r="CY18" s="45"/>
      <c r="CZ18" s="45"/>
      <c r="DA18" s="45"/>
      <c r="DD18" s="45"/>
      <c r="DE18" s="45"/>
      <c r="DF18" s="45"/>
      <c r="DI18" s="45"/>
      <c r="DJ18" s="45"/>
      <c r="DK18" s="45"/>
      <c r="DN18" s="45"/>
      <c r="DO18" s="45"/>
      <c r="DP18" s="45"/>
      <c r="DV18" s="45"/>
      <c r="DW18" s="45"/>
      <c r="DX18" s="45"/>
      <c r="EA18" s="45"/>
      <c r="EB18" s="45"/>
      <c r="EC18" s="45"/>
      <c r="EF18" s="45"/>
      <c r="EG18" s="45"/>
      <c r="EH18" s="45"/>
      <c r="EK18" s="45"/>
      <c r="EL18" s="45"/>
      <c r="EM18" s="45"/>
      <c r="EP18" s="45"/>
      <c r="EQ18" s="45"/>
      <c r="ER18" s="45"/>
      <c r="EX18" s="45"/>
      <c r="EY18" s="45"/>
      <c r="EZ18" s="45"/>
      <c r="FC18" s="45"/>
      <c r="FD18" s="45"/>
      <c r="FE18" s="45"/>
      <c r="FH18" s="45"/>
      <c r="FI18" s="45"/>
      <c r="FJ18" s="45"/>
      <c r="FM18" s="45"/>
      <c r="FN18" s="45"/>
      <c r="FO18" s="45"/>
      <c r="FR18" s="45"/>
      <c r="FS18" s="45"/>
      <c r="FT18" s="45"/>
    </row>
    <row r="19" spans="1:176">
      <c r="N19" s="45"/>
      <c r="O19" s="45"/>
      <c r="P19" s="45"/>
      <c r="S19" s="45"/>
      <c r="T19" s="45"/>
      <c r="U19" s="45"/>
      <c r="X19" s="45"/>
      <c r="Y19" s="45"/>
      <c r="Z19" s="45"/>
      <c r="AC19" s="45"/>
      <c r="AD19" s="45"/>
      <c r="AE19" s="45"/>
      <c r="AH19" s="45"/>
      <c r="AI19" s="45"/>
      <c r="AJ19" s="45"/>
      <c r="AP19" s="45"/>
      <c r="AQ19" s="45"/>
      <c r="AR19" s="45"/>
      <c r="AU19" s="45"/>
      <c r="AV19" s="45"/>
      <c r="AW19" s="45"/>
      <c r="AZ19" s="45"/>
      <c r="BA19" s="45"/>
      <c r="BB19" s="45"/>
      <c r="BE19" s="45"/>
      <c r="BF19" s="45"/>
      <c r="BG19" s="45"/>
      <c r="BJ19" s="45"/>
      <c r="BK19" s="45"/>
      <c r="BL19" s="45"/>
      <c r="BR19" s="45"/>
      <c r="BS19" s="45"/>
      <c r="BT19" s="45"/>
      <c r="BW19" s="45"/>
      <c r="BX19" s="45"/>
      <c r="BY19" s="45"/>
      <c r="CB19" s="45"/>
      <c r="CC19" s="45"/>
      <c r="CD19" s="45"/>
      <c r="CG19" s="45"/>
      <c r="CH19" s="45"/>
      <c r="CI19" s="45"/>
      <c r="CL19" s="45"/>
      <c r="CM19" s="45"/>
      <c r="CN19" s="45"/>
      <c r="CT19" s="45"/>
      <c r="CU19" s="45"/>
      <c r="CV19" s="45"/>
      <c r="CY19" s="45"/>
      <c r="CZ19" s="45"/>
      <c r="DA19" s="45"/>
      <c r="DD19" s="45"/>
      <c r="DE19" s="45"/>
      <c r="DF19" s="45"/>
      <c r="DI19" s="45"/>
      <c r="DJ19" s="45"/>
      <c r="DK19" s="45"/>
      <c r="DN19" s="45"/>
      <c r="DO19" s="45"/>
      <c r="DP19" s="45"/>
      <c r="DV19" s="45"/>
      <c r="DW19" s="45"/>
      <c r="DX19" s="45"/>
      <c r="EA19" s="45"/>
      <c r="EB19" s="45"/>
      <c r="EC19" s="45"/>
      <c r="EF19" s="45"/>
      <c r="EG19" s="45"/>
      <c r="EH19" s="45"/>
      <c r="EK19" s="45"/>
      <c r="EL19" s="45"/>
      <c r="EM19" s="45"/>
      <c r="EP19" s="45"/>
      <c r="EQ19" s="45"/>
      <c r="ER19" s="45"/>
      <c r="EX19" s="45"/>
      <c r="EY19" s="45"/>
      <c r="EZ19" s="45"/>
      <c r="FC19" s="45"/>
      <c r="FD19" s="45"/>
      <c r="FE19" s="45"/>
      <c r="FH19" s="45"/>
      <c r="FI19" s="45"/>
      <c r="FJ19" s="45"/>
      <c r="FM19" s="45"/>
      <c r="FN19" s="45"/>
      <c r="FO19" s="45"/>
      <c r="FR19" s="45"/>
      <c r="FS19" s="45"/>
      <c r="FT19" s="45"/>
    </row>
    <row r="20" spans="1:176">
      <c r="N20" s="45"/>
      <c r="O20" s="45"/>
      <c r="P20" s="45"/>
      <c r="S20" s="45"/>
      <c r="T20" s="45"/>
      <c r="U20" s="45"/>
      <c r="X20" s="45"/>
      <c r="Y20" s="45"/>
      <c r="Z20" s="45"/>
      <c r="AC20" s="45"/>
      <c r="AD20" s="45"/>
      <c r="AE20" s="45"/>
      <c r="AH20" s="45"/>
      <c r="AI20" s="45"/>
      <c r="AJ20" s="45"/>
      <c r="AP20" s="45"/>
      <c r="AQ20" s="45"/>
      <c r="AR20" s="45"/>
      <c r="AU20" s="45"/>
      <c r="AV20" s="45"/>
      <c r="AW20" s="45"/>
      <c r="AZ20" s="45"/>
      <c r="BA20" s="45"/>
      <c r="BB20" s="45"/>
      <c r="BE20" s="45"/>
      <c r="BF20" s="45"/>
      <c r="BG20" s="45"/>
      <c r="BJ20" s="45"/>
      <c r="BK20" s="45"/>
      <c r="BL20" s="45"/>
      <c r="BR20" s="45"/>
      <c r="BS20" s="45"/>
      <c r="BT20" s="45"/>
      <c r="BW20" s="45"/>
      <c r="BX20" s="45"/>
      <c r="BY20" s="45"/>
      <c r="CB20" s="45"/>
      <c r="CC20" s="45"/>
      <c r="CD20" s="45"/>
      <c r="CG20" s="45"/>
      <c r="CH20" s="45"/>
      <c r="CI20" s="45"/>
      <c r="CL20" s="45"/>
      <c r="CM20" s="45"/>
      <c r="CN20" s="45"/>
      <c r="CT20" s="45"/>
      <c r="CU20" s="45"/>
      <c r="CV20" s="45"/>
      <c r="CY20" s="45"/>
      <c r="CZ20" s="45"/>
      <c r="DA20" s="45"/>
      <c r="DD20" s="45"/>
      <c r="DE20" s="45"/>
      <c r="DF20" s="45"/>
      <c r="DI20" s="45"/>
      <c r="DJ20" s="45"/>
      <c r="DK20" s="45"/>
      <c r="DN20" s="45"/>
      <c r="DO20" s="45"/>
      <c r="DP20" s="45"/>
      <c r="DV20" s="45"/>
      <c r="DW20" s="45"/>
      <c r="DX20" s="45"/>
      <c r="EA20" s="45"/>
      <c r="EB20" s="45"/>
      <c r="EC20" s="45"/>
      <c r="EF20" s="45"/>
      <c r="EG20" s="45"/>
      <c r="EH20" s="45"/>
      <c r="EK20" s="45"/>
      <c r="EL20" s="45"/>
      <c r="EM20" s="45"/>
      <c r="EP20" s="45"/>
      <c r="EQ20" s="45"/>
      <c r="ER20" s="45"/>
      <c r="EX20" s="45"/>
      <c r="EY20" s="45"/>
      <c r="EZ20" s="45"/>
      <c r="FC20" s="45"/>
      <c r="FD20" s="45"/>
      <c r="FE20" s="45"/>
      <c r="FH20" s="45"/>
      <c r="FI20" s="45"/>
      <c r="FJ20" s="45"/>
      <c r="FM20" s="45"/>
      <c r="FN20" s="45"/>
      <c r="FO20" s="45"/>
      <c r="FR20" s="45"/>
      <c r="FS20" s="45"/>
      <c r="FT20" s="45"/>
    </row>
    <row r="21" spans="1:176">
      <c r="N21" s="45"/>
      <c r="O21" s="45"/>
      <c r="P21" s="45"/>
      <c r="S21" s="45"/>
      <c r="T21" s="45"/>
      <c r="U21" s="45"/>
      <c r="X21" s="45"/>
      <c r="Y21" s="45"/>
      <c r="Z21" s="45"/>
      <c r="AC21" s="45"/>
      <c r="AD21" s="45"/>
      <c r="AE21" s="45"/>
      <c r="AH21" s="45"/>
      <c r="AI21" s="45"/>
      <c r="AJ21" s="45"/>
      <c r="AP21" s="45"/>
      <c r="AQ21" s="45"/>
      <c r="AR21" s="45"/>
      <c r="AU21" s="45"/>
      <c r="AV21" s="45"/>
      <c r="AW21" s="45"/>
      <c r="AZ21" s="45"/>
      <c r="BA21" s="45"/>
      <c r="BB21" s="45"/>
      <c r="BE21" s="45"/>
      <c r="BF21" s="45"/>
      <c r="BG21" s="45"/>
      <c r="BJ21" s="45"/>
      <c r="BK21" s="45"/>
      <c r="BL21" s="45"/>
      <c r="BR21" s="45"/>
      <c r="BS21" s="45"/>
      <c r="BT21" s="45"/>
      <c r="BW21" s="45"/>
      <c r="BX21" s="45"/>
      <c r="BY21" s="45"/>
      <c r="CB21" s="45"/>
      <c r="CC21" s="45"/>
      <c r="CD21" s="45"/>
      <c r="CG21" s="45"/>
      <c r="CH21" s="45"/>
      <c r="CI21" s="45"/>
      <c r="CL21" s="45"/>
      <c r="CM21" s="45"/>
      <c r="CN21" s="45"/>
      <c r="CT21" s="45"/>
      <c r="CU21" s="45"/>
      <c r="CV21" s="45"/>
      <c r="CY21" s="45"/>
      <c r="CZ21" s="45"/>
      <c r="DA21" s="45"/>
      <c r="DD21" s="45"/>
      <c r="DE21" s="45"/>
      <c r="DF21" s="45"/>
      <c r="DI21" s="45"/>
      <c r="DJ21" s="45"/>
      <c r="DK21" s="45"/>
      <c r="DN21" s="45"/>
      <c r="DO21" s="45"/>
      <c r="DP21" s="45"/>
      <c r="DV21" s="45"/>
      <c r="DW21" s="45"/>
      <c r="DX21" s="45"/>
      <c r="EA21" s="45"/>
      <c r="EB21" s="45"/>
      <c r="EC21" s="45"/>
      <c r="EF21" s="45"/>
      <c r="EG21" s="45"/>
      <c r="EH21" s="45"/>
      <c r="EK21" s="45"/>
      <c r="EL21" s="45"/>
      <c r="EM21" s="45"/>
      <c r="EP21" s="45"/>
      <c r="EQ21" s="45"/>
      <c r="ER21" s="45"/>
      <c r="EX21" s="45"/>
      <c r="EY21" s="45"/>
      <c r="EZ21" s="45"/>
      <c r="FC21" s="45"/>
      <c r="FD21" s="45"/>
      <c r="FE21" s="45"/>
      <c r="FH21" s="45"/>
      <c r="FI21" s="45"/>
      <c r="FJ21" s="45"/>
      <c r="FM21" s="45"/>
      <c r="FN21" s="45"/>
      <c r="FO21" s="45"/>
      <c r="FR21" s="45"/>
      <c r="FS21" s="45"/>
      <c r="FT21" s="45"/>
    </row>
    <row r="22" spans="1:176">
      <c r="A22" s="89"/>
      <c r="B22" s="72"/>
      <c r="D22" s="61"/>
      <c r="N22" s="45"/>
      <c r="O22" s="45"/>
      <c r="P22" s="45"/>
      <c r="S22" s="45"/>
      <c r="T22" s="45"/>
      <c r="U22" s="45"/>
      <c r="X22" s="45"/>
      <c r="Y22" s="45"/>
      <c r="Z22" s="45"/>
      <c r="AC22" s="45"/>
      <c r="AD22" s="45"/>
      <c r="AE22" s="45"/>
      <c r="AH22" s="45"/>
      <c r="AI22" s="45"/>
      <c r="AJ22" s="45"/>
      <c r="AP22" s="45"/>
      <c r="AQ22" s="45"/>
      <c r="AR22" s="45"/>
      <c r="AU22" s="45"/>
      <c r="AV22" s="45"/>
      <c r="AW22" s="45"/>
      <c r="AZ22" s="45"/>
      <c r="BA22" s="45"/>
      <c r="BB22" s="45"/>
      <c r="BE22" s="45"/>
      <c r="BF22" s="45"/>
      <c r="BG22" s="45"/>
      <c r="BJ22" s="45"/>
      <c r="BK22" s="45"/>
      <c r="BL22" s="45"/>
      <c r="BR22" s="45"/>
      <c r="BS22" s="45"/>
      <c r="BT22" s="45"/>
      <c r="BW22" s="45"/>
      <c r="BX22" s="45"/>
      <c r="BY22" s="45"/>
      <c r="CB22" s="45"/>
      <c r="CC22" s="45"/>
      <c r="CD22" s="45"/>
      <c r="CG22" s="45"/>
      <c r="CH22" s="45"/>
      <c r="CI22" s="45"/>
      <c r="CL22" s="45"/>
      <c r="CM22" s="45"/>
      <c r="CN22" s="45"/>
      <c r="CT22" s="45"/>
      <c r="CU22" s="45"/>
      <c r="CV22" s="45"/>
      <c r="CY22" s="45"/>
      <c r="CZ22" s="45"/>
      <c r="DA22" s="45"/>
      <c r="DD22" s="45"/>
      <c r="DE22" s="45"/>
      <c r="DF22" s="45"/>
      <c r="DI22" s="45"/>
      <c r="DJ22" s="45"/>
      <c r="DK22" s="45"/>
      <c r="DN22" s="45"/>
      <c r="DO22" s="45"/>
      <c r="DP22" s="45"/>
      <c r="DV22" s="45"/>
      <c r="DW22" s="45"/>
      <c r="DX22" s="45"/>
      <c r="EA22" s="45"/>
      <c r="EB22" s="45"/>
      <c r="EC22" s="45"/>
      <c r="EF22" s="45"/>
      <c r="EG22" s="45"/>
      <c r="EH22" s="45"/>
      <c r="EK22" s="45"/>
      <c r="EL22" s="45"/>
      <c r="EM22" s="45"/>
      <c r="EP22" s="45"/>
      <c r="EQ22" s="45"/>
      <c r="ER22" s="45"/>
      <c r="EX22" s="45"/>
      <c r="EY22" s="45"/>
      <c r="EZ22" s="45"/>
      <c r="FC22" s="45"/>
      <c r="FD22" s="45"/>
      <c r="FE22" s="45"/>
      <c r="FH22" s="45"/>
      <c r="FI22" s="45"/>
      <c r="FJ22" s="45"/>
      <c r="FM22" s="45"/>
      <c r="FN22" s="45"/>
      <c r="FO22" s="45"/>
      <c r="FR22" s="45"/>
      <c r="FS22" s="45"/>
      <c r="FT22" s="45"/>
    </row>
    <row r="23" spans="1:176">
      <c r="A23" s="89"/>
      <c r="B23" s="79"/>
      <c r="N23" s="45"/>
      <c r="O23" s="45"/>
      <c r="P23" s="45"/>
      <c r="S23" s="45"/>
      <c r="T23" s="45"/>
      <c r="U23" s="45"/>
      <c r="X23" s="45"/>
      <c r="Y23" s="45"/>
      <c r="Z23" s="45"/>
      <c r="AC23" s="45"/>
      <c r="AD23" s="45"/>
      <c r="AE23" s="45"/>
      <c r="AH23" s="45"/>
      <c r="AI23" s="45"/>
      <c r="AJ23" s="45"/>
      <c r="AP23" s="45"/>
      <c r="AQ23" s="45"/>
      <c r="AR23" s="45"/>
      <c r="AU23" s="45"/>
      <c r="AV23" s="45"/>
      <c r="AW23" s="45"/>
      <c r="AZ23" s="45"/>
      <c r="BA23" s="45"/>
      <c r="BB23" s="45"/>
      <c r="BE23" s="45"/>
      <c r="BF23" s="45"/>
      <c r="BG23" s="45"/>
      <c r="BJ23" s="45"/>
      <c r="BK23" s="45"/>
      <c r="BL23" s="45"/>
      <c r="BR23" s="45"/>
      <c r="BS23" s="45"/>
      <c r="BT23" s="45"/>
      <c r="BW23" s="45"/>
      <c r="BX23" s="45"/>
      <c r="BY23" s="45"/>
      <c r="CB23" s="45"/>
      <c r="CC23" s="45"/>
      <c r="CD23" s="45"/>
      <c r="CG23" s="45"/>
      <c r="CH23" s="45"/>
      <c r="CI23" s="45"/>
      <c r="CL23" s="45"/>
      <c r="CM23" s="45"/>
      <c r="CN23" s="45"/>
      <c r="CT23" s="45"/>
      <c r="CU23" s="45"/>
      <c r="CV23" s="45"/>
      <c r="CY23" s="45"/>
      <c r="CZ23" s="45"/>
      <c r="DA23" s="45"/>
      <c r="DD23" s="45"/>
      <c r="DE23" s="45"/>
      <c r="DF23" s="45"/>
      <c r="DI23" s="45"/>
      <c r="DJ23" s="45"/>
      <c r="DK23" s="45"/>
      <c r="DN23" s="45"/>
      <c r="DO23" s="45"/>
      <c r="DP23" s="45"/>
      <c r="DV23" s="45"/>
      <c r="DW23" s="45"/>
      <c r="DX23" s="45"/>
      <c r="EA23" s="45"/>
      <c r="EB23" s="45"/>
      <c r="EC23" s="45"/>
      <c r="EF23" s="45"/>
      <c r="EG23" s="45"/>
      <c r="EH23" s="45"/>
      <c r="EK23" s="45"/>
      <c r="EL23" s="45"/>
      <c r="EM23" s="45"/>
      <c r="EP23" s="45"/>
      <c r="EQ23" s="45"/>
      <c r="ER23" s="45"/>
      <c r="EX23" s="45"/>
      <c r="EY23" s="45"/>
      <c r="EZ23" s="45"/>
      <c r="FC23" s="45"/>
      <c r="FD23" s="45"/>
      <c r="FE23" s="45"/>
      <c r="FH23" s="45"/>
      <c r="FI23" s="45"/>
      <c r="FJ23" s="45"/>
      <c r="FM23" s="45"/>
      <c r="FN23" s="45"/>
      <c r="FO23" s="45"/>
      <c r="FR23" s="45"/>
      <c r="FS23" s="45"/>
      <c r="FT23" s="45"/>
    </row>
    <row r="24" spans="1:176">
      <c r="A24" s="89"/>
      <c r="B24" s="80"/>
      <c r="D24" s="61"/>
      <c r="N24" s="45"/>
      <c r="O24" s="45"/>
      <c r="P24" s="45"/>
      <c r="S24" s="45"/>
      <c r="T24" s="45"/>
      <c r="U24" s="45"/>
      <c r="X24" s="45"/>
      <c r="Y24" s="45"/>
      <c r="Z24" s="45"/>
      <c r="AC24" s="45"/>
      <c r="AD24" s="45"/>
      <c r="AE24" s="45"/>
      <c r="AH24" s="45"/>
      <c r="AI24" s="45"/>
      <c r="AJ24" s="45"/>
      <c r="AP24" s="45"/>
      <c r="AQ24" s="45"/>
      <c r="AR24" s="45"/>
      <c r="AU24" s="45"/>
      <c r="AV24" s="45"/>
      <c r="AW24" s="45"/>
      <c r="AZ24" s="45"/>
      <c r="BA24" s="45"/>
      <c r="BB24" s="45"/>
      <c r="BE24" s="45"/>
      <c r="BF24" s="45"/>
      <c r="BG24" s="45"/>
      <c r="BJ24" s="45"/>
      <c r="BK24" s="45"/>
      <c r="BL24" s="45"/>
      <c r="BR24" s="45"/>
      <c r="BS24" s="45"/>
      <c r="BT24" s="45"/>
      <c r="BW24" s="45"/>
      <c r="BX24" s="45"/>
      <c r="BY24" s="45"/>
      <c r="CB24" s="45"/>
      <c r="CC24" s="45"/>
      <c r="CD24" s="45"/>
      <c r="CG24" s="45"/>
      <c r="CH24" s="45"/>
      <c r="CI24" s="45"/>
      <c r="CL24" s="45"/>
      <c r="CM24" s="45"/>
      <c r="CN24" s="45"/>
      <c r="CT24" s="45"/>
      <c r="CU24" s="45"/>
      <c r="CV24" s="45"/>
      <c r="CY24" s="45"/>
      <c r="CZ24" s="45"/>
      <c r="DA24" s="45"/>
      <c r="DD24" s="45"/>
      <c r="DE24" s="45"/>
      <c r="DF24" s="45"/>
      <c r="DI24" s="45"/>
      <c r="DJ24" s="45"/>
      <c r="DK24" s="45"/>
      <c r="DN24" s="45"/>
      <c r="DO24" s="45"/>
      <c r="DP24" s="45"/>
      <c r="DV24" s="45"/>
      <c r="DW24" s="45"/>
      <c r="DX24" s="45"/>
      <c r="EA24" s="45"/>
      <c r="EB24" s="45"/>
      <c r="EC24" s="45"/>
      <c r="EF24" s="45"/>
      <c r="EG24" s="45"/>
      <c r="EH24" s="45"/>
      <c r="EK24" s="45"/>
      <c r="EL24" s="45"/>
      <c r="EM24" s="45"/>
      <c r="EP24" s="45"/>
      <c r="EQ24" s="45"/>
      <c r="ER24" s="45"/>
      <c r="EX24" s="45"/>
      <c r="EY24" s="45"/>
      <c r="EZ24" s="45"/>
      <c r="FC24" s="45"/>
      <c r="FD24" s="45"/>
      <c r="FE24" s="45"/>
      <c r="FH24" s="45"/>
      <c r="FI24" s="45"/>
      <c r="FJ24" s="45"/>
      <c r="FM24" s="45"/>
      <c r="FN24" s="45"/>
      <c r="FO24" s="45"/>
      <c r="FR24" s="45"/>
      <c r="FS24" s="45"/>
      <c r="FT24" s="45"/>
    </row>
    <row r="25" spans="1:176">
      <c r="A25" s="93"/>
      <c r="B25" s="80"/>
      <c r="D25" s="61"/>
      <c r="N25" s="45"/>
      <c r="O25" s="45"/>
      <c r="P25" s="45"/>
      <c r="S25" s="45"/>
      <c r="T25" s="45"/>
      <c r="U25" s="45"/>
      <c r="X25" s="45"/>
      <c r="Y25" s="45"/>
      <c r="Z25" s="45"/>
      <c r="AC25" s="45"/>
      <c r="AD25" s="45"/>
      <c r="AE25" s="45"/>
      <c r="AH25" s="45"/>
      <c r="AI25" s="45"/>
      <c r="AJ25" s="45"/>
      <c r="AP25" s="45"/>
      <c r="AQ25" s="45"/>
      <c r="AR25" s="45"/>
      <c r="AU25" s="45"/>
      <c r="AV25" s="45"/>
      <c r="AW25" s="45"/>
      <c r="AZ25" s="45"/>
      <c r="BA25" s="45"/>
      <c r="BB25" s="45"/>
      <c r="BE25" s="45"/>
      <c r="BF25" s="45"/>
      <c r="BG25" s="45"/>
      <c r="BJ25" s="45"/>
      <c r="BK25" s="45"/>
      <c r="BL25" s="45"/>
      <c r="BR25" s="45"/>
      <c r="BS25" s="45"/>
      <c r="BT25" s="45"/>
      <c r="BW25" s="45"/>
      <c r="BX25" s="45"/>
      <c r="BY25" s="45"/>
      <c r="CB25" s="45"/>
      <c r="CC25" s="45"/>
      <c r="CD25" s="45"/>
      <c r="CG25" s="45"/>
      <c r="CH25" s="45"/>
      <c r="CI25" s="45"/>
      <c r="CL25" s="45"/>
      <c r="CM25" s="45"/>
      <c r="CN25" s="45"/>
      <c r="CT25" s="45"/>
      <c r="CU25" s="45"/>
      <c r="CV25" s="45"/>
      <c r="CY25" s="45"/>
      <c r="CZ25" s="45"/>
      <c r="DA25" s="45"/>
      <c r="DD25" s="45"/>
      <c r="DE25" s="45"/>
      <c r="DF25" s="45"/>
      <c r="DI25" s="45"/>
      <c r="DJ25" s="45"/>
      <c r="DK25" s="45"/>
      <c r="DN25" s="45"/>
      <c r="DO25" s="45"/>
      <c r="DP25" s="45"/>
      <c r="DV25" s="45"/>
      <c r="DW25" s="45"/>
      <c r="DX25" s="45"/>
      <c r="EA25" s="45"/>
      <c r="EB25" s="45"/>
      <c r="EC25" s="45"/>
      <c r="EF25" s="45"/>
      <c r="EG25" s="45"/>
      <c r="EH25" s="45"/>
      <c r="EK25" s="45"/>
      <c r="EL25" s="45"/>
      <c r="EM25" s="45"/>
      <c r="EP25" s="45"/>
      <c r="EQ25" s="45"/>
      <c r="ER25" s="45"/>
      <c r="EX25" s="45"/>
      <c r="EY25" s="45"/>
      <c r="EZ25" s="45"/>
      <c r="FC25" s="45"/>
      <c r="FD25" s="45"/>
      <c r="FE25" s="45"/>
      <c r="FH25" s="45"/>
      <c r="FI25" s="45"/>
      <c r="FJ25" s="45"/>
      <c r="FM25" s="45"/>
      <c r="FN25" s="45"/>
      <c r="FO25" s="45"/>
      <c r="FR25" s="45"/>
      <c r="FS25" s="45"/>
      <c r="FT25" s="45"/>
    </row>
    <row r="26" spans="1:176">
      <c r="A26" s="89"/>
      <c r="B26" s="72"/>
      <c r="N26" s="45"/>
      <c r="O26" s="45"/>
      <c r="P26" s="45"/>
      <c r="S26" s="45"/>
      <c r="T26" s="45"/>
      <c r="U26" s="45"/>
      <c r="X26" s="45"/>
      <c r="Y26" s="45"/>
      <c r="Z26" s="45"/>
      <c r="AC26" s="45"/>
      <c r="AD26" s="45"/>
      <c r="AE26" s="45"/>
      <c r="AH26" s="45"/>
      <c r="AI26" s="45"/>
      <c r="AJ26" s="45"/>
      <c r="AP26" s="45"/>
      <c r="AQ26" s="45"/>
      <c r="AR26" s="45"/>
      <c r="AU26" s="45"/>
      <c r="AV26" s="45"/>
      <c r="AW26" s="45"/>
      <c r="AZ26" s="45"/>
      <c r="BA26" s="45"/>
      <c r="BB26" s="45"/>
      <c r="BE26" s="45"/>
      <c r="BF26" s="45"/>
      <c r="BG26" s="45"/>
      <c r="BJ26" s="45"/>
      <c r="BK26" s="45"/>
      <c r="BL26" s="45"/>
      <c r="BR26" s="45"/>
      <c r="BS26" s="45"/>
      <c r="BT26" s="45"/>
      <c r="BW26" s="45"/>
      <c r="BX26" s="45"/>
      <c r="BY26" s="45"/>
      <c r="CB26" s="45"/>
      <c r="CC26" s="45"/>
      <c r="CD26" s="45"/>
      <c r="CG26" s="45"/>
      <c r="CH26" s="45"/>
      <c r="CI26" s="45"/>
      <c r="CL26" s="45"/>
      <c r="CM26" s="45"/>
      <c r="CN26" s="45"/>
      <c r="CT26" s="45"/>
      <c r="CU26" s="45"/>
      <c r="CV26" s="45"/>
      <c r="CY26" s="45"/>
      <c r="CZ26" s="45"/>
      <c r="DA26" s="45"/>
      <c r="DD26" s="45"/>
      <c r="DE26" s="45"/>
      <c r="DF26" s="45"/>
      <c r="DI26" s="45"/>
      <c r="DJ26" s="45"/>
      <c r="DK26" s="45"/>
      <c r="DN26" s="45"/>
      <c r="DO26" s="45"/>
      <c r="DP26" s="45"/>
      <c r="DV26" s="45"/>
      <c r="DW26" s="45"/>
      <c r="DX26" s="45"/>
      <c r="EA26" s="45"/>
      <c r="EB26" s="45"/>
      <c r="EC26" s="45"/>
      <c r="EF26" s="45"/>
      <c r="EG26" s="45"/>
      <c r="EH26" s="45"/>
      <c r="EK26" s="45"/>
      <c r="EL26" s="45"/>
      <c r="EM26" s="45"/>
      <c r="EP26" s="45"/>
      <c r="EQ26" s="45"/>
      <c r="ER26" s="45"/>
      <c r="EX26" s="45"/>
      <c r="EY26" s="45"/>
      <c r="EZ26" s="45"/>
      <c r="FC26" s="45"/>
      <c r="FD26" s="45"/>
      <c r="FE26" s="45"/>
      <c r="FH26" s="45"/>
      <c r="FI26" s="45"/>
      <c r="FJ26" s="45"/>
      <c r="FM26" s="45"/>
      <c r="FN26" s="45"/>
      <c r="FO26" s="45"/>
      <c r="FR26" s="45"/>
      <c r="FS26" s="45"/>
      <c r="FT26" s="45"/>
    </row>
    <row r="27" spans="1:176">
      <c r="A27" s="89"/>
      <c r="B27" s="72"/>
      <c r="D27" s="61"/>
      <c r="N27" s="45"/>
      <c r="O27" s="45"/>
      <c r="P27" s="45"/>
      <c r="S27" s="45"/>
      <c r="T27" s="45"/>
      <c r="U27" s="45"/>
      <c r="X27" s="45"/>
      <c r="Y27" s="45"/>
      <c r="Z27" s="45"/>
      <c r="AC27" s="45"/>
      <c r="AD27" s="45"/>
      <c r="AE27" s="45"/>
      <c r="AH27" s="45"/>
      <c r="AI27" s="45"/>
      <c r="AJ27" s="45"/>
      <c r="AP27" s="45"/>
      <c r="AQ27" s="45"/>
      <c r="AR27" s="45"/>
      <c r="AU27" s="45"/>
      <c r="AV27" s="45"/>
      <c r="AW27" s="45"/>
      <c r="AZ27" s="45"/>
      <c r="BA27" s="45"/>
      <c r="BB27" s="45"/>
      <c r="BE27" s="45"/>
      <c r="BF27" s="45"/>
      <c r="BG27" s="45"/>
      <c r="BJ27" s="45"/>
      <c r="BK27" s="45"/>
      <c r="BL27" s="45"/>
      <c r="BR27" s="45"/>
      <c r="BS27" s="45"/>
      <c r="BT27" s="45"/>
      <c r="BW27" s="45"/>
      <c r="BX27" s="45"/>
      <c r="BY27" s="45"/>
      <c r="CB27" s="45"/>
      <c r="CC27" s="45"/>
      <c r="CD27" s="45"/>
      <c r="CG27" s="45"/>
      <c r="CH27" s="45"/>
      <c r="CI27" s="45"/>
      <c r="CL27" s="45"/>
      <c r="CM27" s="45"/>
      <c r="CN27" s="45"/>
      <c r="CT27" s="45"/>
      <c r="CU27" s="45"/>
      <c r="CV27" s="45"/>
      <c r="CY27" s="45"/>
      <c r="CZ27" s="45"/>
      <c r="DA27" s="45"/>
      <c r="DD27" s="45"/>
      <c r="DE27" s="45"/>
      <c r="DF27" s="45"/>
      <c r="DI27" s="45"/>
      <c r="DJ27" s="45"/>
      <c r="DK27" s="45"/>
      <c r="DN27" s="45"/>
      <c r="DO27" s="45"/>
      <c r="DP27" s="45"/>
      <c r="DV27" s="45"/>
      <c r="DW27" s="45"/>
      <c r="DX27" s="45"/>
      <c r="EA27" s="45"/>
      <c r="EB27" s="45"/>
      <c r="EC27" s="45"/>
      <c r="EF27" s="45"/>
      <c r="EG27" s="45"/>
      <c r="EH27" s="45"/>
      <c r="EK27" s="45"/>
      <c r="EL27" s="45"/>
      <c r="EM27" s="45"/>
      <c r="EP27" s="45"/>
      <c r="EQ27" s="45"/>
      <c r="ER27" s="45"/>
      <c r="EX27" s="45"/>
      <c r="EY27" s="45"/>
      <c r="EZ27" s="45"/>
      <c r="FC27" s="45"/>
      <c r="FD27" s="45"/>
      <c r="FE27" s="45"/>
      <c r="FH27" s="45"/>
      <c r="FI27" s="45"/>
      <c r="FJ27" s="45"/>
      <c r="FM27" s="45"/>
      <c r="FN27" s="45"/>
      <c r="FO27" s="45"/>
      <c r="FR27" s="45"/>
      <c r="FS27" s="45"/>
      <c r="FT27" s="45"/>
    </row>
    <row r="28" spans="1:176">
      <c r="A28" s="89"/>
      <c r="B28" s="80"/>
      <c r="N28" s="45"/>
      <c r="O28" s="45"/>
      <c r="P28" s="45"/>
      <c r="S28" s="45"/>
      <c r="T28" s="45"/>
      <c r="U28" s="45"/>
      <c r="X28" s="45"/>
      <c r="Y28" s="45"/>
      <c r="Z28" s="45"/>
      <c r="AC28" s="45"/>
      <c r="AD28" s="45"/>
      <c r="AE28" s="45"/>
      <c r="AH28" s="45"/>
      <c r="AI28" s="45"/>
      <c r="AJ28" s="45"/>
      <c r="AP28" s="45"/>
      <c r="AQ28" s="45"/>
      <c r="AR28" s="45"/>
      <c r="AU28" s="45"/>
      <c r="AV28" s="45"/>
      <c r="AW28" s="45"/>
      <c r="AZ28" s="45"/>
      <c r="BA28" s="45"/>
      <c r="BB28" s="45"/>
      <c r="BE28" s="45"/>
      <c r="BF28" s="45"/>
      <c r="BG28" s="45"/>
      <c r="BJ28" s="45"/>
      <c r="BK28" s="45"/>
      <c r="BL28" s="45"/>
      <c r="BR28" s="45"/>
      <c r="BS28" s="45"/>
      <c r="BT28" s="45"/>
      <c r="BW28" s="45"/>
      <c r="BX28" s="45"/>
      <c r="BY28" s="45"/>
      <c r="CB28" s="45"/>
      <c r="CC28" s="45"/>
      <c r="CD28" s="45"/>
      <c r="CG28" s="45"/>
      <c r="CH28" s="45"/>
      <c r="CI28" s="45"/>
      <c r="CL28" s="45"/>
      <c r="CM28" s="45"/>
      <c r="CN28" s="45"/>
      <c r="CT28" s="45"/>
      <c r="CU28" s="45"/>
      <c r="CV28" s="45"/>
      <c r="CY28" s="45"/>
      <c r="CZ28" s="45"/>
      <c r="DA28" s="45"/>
      <c r="DD28" s="45"/>
      <c r="DE28" s="45"/>
      <c r="DF28" s="45"/>
      <c r="DI28" s="45"/>
      <c r="DJ28" s="45"/>
      <c r="DK28" s="45"/>
      <c r="DN28" s="45"/>
      <c r="DO28" s="45"/>
      <c r="DP28" s="45"/>
      <c r="DV28" s="45"/>
      <c r="DW28" s="45"/>
      <c r="DX28" s="45"/>
      <c r="EA28" s="45"/>
      <c r="EB28" s="45"/>
      <c r="EC28" s="45"/>
      <c r="EF28" s="45"/>
      <c r="EG28" s="45"/>
      <c r="EH28" s="45"/>
      <c r="EK28" s="45"/>
      <c r="EL28" s="45"/>
      <c r="EM28" s="45"/>
      <c r="EP28" s="45"/>
      <c r="EQ28" s="45"/>
      <c r="ER28" s="45"/>
      <c r="EX28" s="45"/>
      <c r="EY28" s="45"/>
      <c r="EZ28" s="45"/>
      <c r="FC28" s="45"/>
      <c r="FD28" s="45"/>
      <c r="FE28" s="45"/>
      <c r="FH28" s="45"/>
      <c r="FI28" s="45"/>
      <c r="FJ28" s="45"/>
      <c r="FM28" s="45"/>
      <c r="FN28" s="45"/>
      <c r="FO28" s="45"/>
      <c r="FR28" s="45"/>
      <c r="FS28" s="45"/>
      <c r="FT28" s="45"/>
    </row>
    <row r="29" spans="1:176">
      <c r="A29" s="89"/>
      <c r="B29" s="79"/>
      <c r="N29" s="45"/>
      <c r="O29" s="45"/>
      <c r="P29" s="45"/>
      <c r="S29" s="45"/>
      <c r="T29" s="45"/>
      <c r="U29" s="45"/>
      <c r="X29" s="45"/>
      <c r="Y29" s="45"/>
      <c r="Z29" s="45"/>
      <c r="AC29" s="45"/>
      <c r="AD29" s="45"/>
      <c r="AE29" s="45"/>
      <c r="AH29" s="45"/>
      <c r="AI29" s="45"/>
      <c r="AJ29" s="45"/>
      <c r="AP29" s="45"/>
      <c r="AQ29" s="45"/>
      <c r="AR29" s="45"/>
      <c r="AU29" s="45"/>
      <c r="AV29" s="45"/>
      <c r="AW29" s="45"/>
      <c r="AZ29" s="45"/>
      <c r="BA29" s="45"/>
      <c r="BB29" s="45"/>
      <c r="BE29" s="45"/>
      <c r="BF29" s="45"/>
      <c r="BG29" s="45"/>
      <c r="BJ29" s="45"/>
      <c r="BK29" s="45"/>
      <c r="BL29" s="45"/>
      <c r="BR29" s="45"/>
      <c r="BS29" s="45"/>
      <c r="BT29" s="45"/>
      <c r="BW29" s="45"/>
      <c r="BX29" s="45"/>
      <c r="BY29" s="45"/>
      <c r="CB29" s="45"/>
      <c r="CC29" s="45"/>
      <c r="CD29" s="45"/>
      <c r="CG29" s="45"/>
      <c r="CH29" s="45"/>
      <c r="CI29" s="45"/>
      <c r="CL29" s="45"/>
      <c r="CM29" s="45"/>
      <c r="CN29" s="45"/>
      <c r="CT29" s="45"/>
      <c r="CU29" s="45"/>
      <c r="CV29" s="45"/>
      <c r="CY29" s="45"/>
      <c r="CZ29" s="45"/>
      <c r="DA29" s="45"/>
      <c r="DD29" s="45"/>
      <c r="DE29" s="45"/>
      <c r="DF29" s="45"/>
      <c r="DI29" s="45"/>
      <c r="DJ29" s="45"/>
      <c r="DK29" s="45"/>
      <c r="DN29" s="45"/>
      <c r="DO29" s="45"/>
      <c r="DP29" s="45"/>
      <c r="DV29" s="45"/>
      <c r="DW29" s="45"/>
      <c r="DX29" s="45"/>
      <c r="EA29" s="45"/>
      <c r="EB29" s="45"/>
      <c r="EC29" s="45"/>
      <c r="EF29" s="45"/>
      <c r="EG29" s="45"/>
      <c r="EH29" s="45"/>
      <c r="EK29" s="45"/>
      <c r="EL29" s="45"/>
      <c r="EM29" s="45"/>
      <c r="EP29" s="45"/>
      <c r="EQ29" s="45"/>
      <c r="ER29" s="45"/>
      <c r="EX29" s="45"/>
      <c r="EY29" s="45"/>
      <c r="EZ29" s="45"/>
      <c r="FC29" s="45"/>
      <c r="FD29" s="45"/>
      <c r="FE29" s="45"/>
      <c r="FH29" s="45"/>
      <c r="FI29" s="45"/>
      <c r="FJ29" s="45"/>
      <c r="FM29" s="45"/>
      <c r="FN29" s="45"/>
      <c r="FO29" s="45"/>
      <c r="FR29" s="45"/>
      <c r="FS29" s="45"/>
      <c r="FT29" s="45"/>
    </row>
    <row r="30" spans="1:176">
      <c r="A30" s="89"/>
      <c r="B30" s="79"/>
      <c r="N30" s="45"/>
      <c r="O30" s="45"/>
      <c r="P30" s="45"/>
      <c r="S30" s="45"/>
      <c r="T30" s="45"/>
      <c r="U30" s="45"/>
      <c r="X30" s="45"/>
      <c r="Y30" s="45"/>
      <c r="Z30" s="45"/>
      <c r="AC30" s="45"/>
      <c r="AD30" s="45"/>
      <c r="AE30" s="45"/>
      <c r="AH30" s="45"/>
      <c r="AI30" s="45"/>
      <c r="AJ30" s="45"/>
      <c r="AP30" s="45"/>
      <c r="AQ30" s="45"/>
      <c r="AR30" s="45"/>
      <c r="AU30" s="45"/>
      <c r="AV30" s="45"/>
      <c r="AW30" s="45"/>
      <c r="AZ30" s="45"/>
      <c r="BA30" s="45"/>
      <c r="BB30" s="45"/>
      <c r="BE30" s="45"/>
      <c r="BF30" s="45"/>
      <c r="BG30" s="45"/>
      <c r="BJ30" s="45"/>
      <c r="BK30" s="45"/>
      <c r="BL30" s="45"/>
      <c r="BR30" s="45"/>
      <c r="BS30" s="45"/>
      <c r="BT30" s="45"/>
      <c r="BW30" s="45"/>
      <c r="BX30" s="45"/>
      <c r="BY30" s="45"/>
      <c r="CB30" s="45"/>
      <c r="CC30" s="45"/>
      <c r="CD30" s="45"/>
      <c r="CG30" s="45"/>
      <c r="CH30" s="45"/>
      <c r="CI30" s="45"/>
      <c r="CL30" s="45"/>
      <c r="CM30" s="45"/>
      <c r="CN30" s="45"/>
      <c r="CT30" s="45"/>
      <c r="CU30" s="45"/>
      <c r="CV30" s="45"/>
      <c r="CY30" s="45"/>
      <c r="CZ30" s="45"/>
      <c r="DA30" s="45"/>
      <c r="DD30" s="45"/>
      <c r="DE30" s="45"/>
      <c r="DF30" s="45"/>
      <c r="DI30" s="45"/>
      <c r="DJ30" s="45"/>
      <c r="DK30" s="45"/>
      <c r="DN30" s="45"/>
      <c r="DO30" s="45"/>
      <c r="DP30" s="45"/>
      <c r="DV30" s="45"/>
      <c r="DW30" s="45"/>
      <c r="DX30" s="45"/>
      <c r="EA30" s="45"/>
      <c r="EB30" s="45"/>
      <c r="EC30" s="45"/>
      <c r="EF30" s="45"/>
      <c r="EG30" s="45"/>
      <c r="EH30" s="45"/>
      <c r="EK30" s="45"/>
      <c r="EL30" s="45"/>
      <c r="EM30" s="45"/>
      <c r="EP30" s="45"/>
      <c r="EQ30" s="45"/>
      <c r="ER30" s="45"/>
      <c r="EX30" s="45"/>
      <c r="EY30" s="45"/>
      <c r="EZ30" s="45"/>
      <c r="FC30" s="45"/>
      <c r="FD30" s="45"/>
      <c r="FE30" s="45"/>
      <c r="FH30" s="45"/>
      <c r="FI30" s="45"/>
      <c r="FJ30" s="45"/>
      <c r="FM30" s="45"/>
      <c r="FN30" s="45"/>
      <c r="FO30" s="45"/>
      <c r="FR30" s="45"/>
      <c r="FS30" s="45"/>
      <c r="FT30" s="45"/>
    </row>
    <row r="31" spans="1:176">
      <c r="A31" s="89"/>
      <c r="B31" s="79"/>
      <c r="N31" s="45"/>
      <c r="O31" s="45"/>
      <c r="P31" s="45"/>
      <c r="S31" s="45"/>
      <c r="T31" s="45"/>
      <c r="U31" s="45"/>
      <c r="X31" s="45"/>
      <c r="Y31" s="45"/>
      <c r="Z31" s="45"/>
      <c r="AC31" s="45"/>
      <c r="AD31" s="45"/>
      <c r="AE31" s="45"/>
      <c r="AH31" s="45"/>
      <c r="AI31" s="45"/>
      <c r="AJ31" s="45"/>
      <c r="AP31" s="45"/>
      <c r="AQ31" s="45"/>
      <c r="AR31" s="45"/>
      <c r="AU31" s="45"/>
      <c r="AV31" s="45"/>
      <c r="AW31" s="45"/>
      <c r="AZ31" s="45"/>
      <c r="BA31" s="45"/>
      <c r="BB31" s="45"/>
      <c r="BE31" s="45"/>
      <c r="BF31" s="45"/>
      <c r="BG31" s="45"/>
      <c r="BJ31" s="45"/>
      <c r="BK31" s="45"/>
      <c r="BL31" s="45"/>
      <c r="BR31" s="45"/>
      <c r="BS31" s="45"/>
      <c r="BT31" s="45"/>
      <c r="BW31" s="45"/>
      <c r="BX31" s="45"/>
      <c r="BY31" s="45"/>
      <c r="CB31" s="45"/>
      <c r="CC31" s="45"/>
      <c r="CD31" s="45"/>
      <c r="CG31" s="45"/>
      <c r="CH31" s="45"/>
      <c r="CI31" s="45"/>
      <c r="CL31" s="45"/>
      <c r="CM31" s="45"/>
      <c r="CN31" s="45"/>
      <c r="CT31" s="45"/>
      <c r="CU31" s="45"/>
      <c r="CV31" s="45"/>
      <c r="CY31" s="45"/>
      <c r="CZ31" s="45"/>
      <c r="DA31" s="45"/>
      <c r="DD31" s="45"/>
      <c r="DE31" s="45"/>
      <c r="DF31" s="45"/>
      <c r="DI31" s="45"/>
      <c r="DJ31" s="45"/>
      <c r="DK31" s="45"/>
      <c r="DN31" s="45"/>
      <c r="DO31" s="45"/>
      <c r="DP31" s="45"/>
      <c r="DV31" s="45"/>
      <c r="DW31" s="45"/>
      <c r="DX31" s="45"/>
      <c r="EA31" s="45"/>
      <c r="EB31" s="45"/>
      <c r="EC31" s="45"/>
      <c r="EF31" s="45"/>
      <c r="EG31" s="45"/>
      <c r="EH31" s="45"/>
      <c r="EK31" s="45"/>
      <c r="EL31" s="45"/>
      <c r="EM31" s="45"/>
      <c r="EP31" s="45"/>
      <c r="EQ31" s="45"/>
      <c r="ER31" s="45"/>
      <c r="EX31" s="45"/>
      <c r="EY31" s="45"/>
      <c r="EZ31" s="45"/>
      <c r="FC31" s="45"/>
      <c r="FD31" s="45"/>
      <c r="FE31" s="45"/>
      <c r="FH31" s="45"/>
      <c r="FI31" s="45"/>
      <c r="FJ31" s="45"/>
      <c r="FM31" s="45"/>
      <c r="FN31" s="45"/>
      <c r="FO31" s="45"/>
      <c r="FR31" s="45"/>
      <c r="FS31" s="45"/>
      <c r="FT31" s="45"/>
    </row>
    <row r="32" spans="1:176">
      <c r="B32" s="72"/>
      <c r="N32" s="45"/>
      <c r="O32" s="45"/>
      <c r="P32" s="45"/>
      <c r="S32" s="45"/>
      <c r="T32" s="45"/>
      <c r="U32" s="45"/>
      <c r="X32" s="45"/>
      <c r="Y32" s="45"/>
      <c r="Z32" s="45"/>
      <c r="AC32" s="45"/>
      <c r="AD32" s="45"/>
      <c r="AE32" s="45"/>
      <c r="AH32" s="45"/>
      <c r="AI32" s="45"/>
      <c r="AJ32" s="45"/>
      <c r="AP32" s="45"/>
      <c r="AQ32" s="45"/>
      <c r="AR32" s="45"/>
      <c r="AU32" s="45"/>
      <c r="AV32" s="45"/>
      <c r="AW32" s="45"/>
      <c r="AZ32" s="45"/>
      <c r="BA32" s="45"/>
      <c r="BB32" s="45"/>
      <c r="BE32" s="45"/>
      <c r="BF32" s="45"/>
      <c r="BG32" s="45"/>
      <c r="BJ32" s="45"/>
      <c r="BK32" s="45"/>
      <c r="BL32" s="45"/>
      <c r="BR32" s="45"/>
      <c r="BS32" s="45"/>
      <c r="BT32" s="45"/>
      <c r="BW32" s="45"/>
      <c r="BX32" s="45"/>
      <c r="BY32" s="45"/>
      <c r="CB32" s="45"/>
      <c r="CC32" s="45"/>
      <c r="CD32" s="45"/>
      <c r="CG32" s="45"/>
      <c r="CH32" s="45"/>
      <c r="CI32" s="45"/>
      <c r="CL32" s="45"/>
      <c r="CM32" s="45"/>
      <c r="CN32" s="45"/>
      <c r="CT32" s="45"/>
      <c r="CU32" s="45"/>
      <c r="CV32" s="45"/>
      <c r="CY32" s="45"/>
      <c r="CZ32" s="45"/>
      <c r="DA32" s="45"/>
      <c r="DD32" s="45"/>
      <c r="DE32" s="45"/>
      <c r="DF32" s="45"/>
      <c r="DI32" s="45"/>
      <c r="DJ32" s="45"/>
      <c r="DK32" s="45"/>
      <c r="DN32" s="45"/>
      <c r="DO32" s="45"/>
      <c r="DP32" s="45"/>
      <c r="DV32" s="45"/>
      <c r="DW32" s="45"/>
      <c r="DX32" s="45"/>
      <c r="EA32" s="45"/>
      <c r="EB32" s="45"/>
      <c r="EC32" s="45"/>
      <c r="EF32" s="45"/>
      <c r="EG32" s="45"/>
      <c r="EH32" s="45"/>
      <c r="EK32" s="45"/>
      <c r="EL32" s="45"/>
      <c r="EM32" s="45"/>
      <c r="EP32" s="45"/>
      <c r="EQ32" s="45"/>
      <c r="ER32" s="45"/>
      <c r="EX32" s="45"/>
      <c r="EY32" s="45"/>
      <c r="EZ32" s="45"/>
      <c r="FC32" s="45"/>
      <c r="FD32" s="45"/>
      <c r="FE32" s="45"/>
      <c r="FH32" s="45"/>
      <c r="FI32" s="45"/>
      <c r="FJ32" s="45"/>
      <c r="FM32" s="45"/>
      <c r="FN32" s="45"/>
      <c r="FO32" s="45"/>
      <c r="FR32" s="45"/>
      <c r="FS32" s="45"/>
      <c r="FT32" s="45"/>
    </row>
    <row r="33" spans="14:176">
      <c r="N33" s="45"/>
      <c r="O33" s="45"/>
      <c r="P33" s="45"/>
      <c r="S33" s="45"/>
      <c r="T33" s="45"/>
      <c r="U33" s="45"/>
      <c r="X33" s="45"/>
      <c r="Y33" s="45"/>
      <c r="Z33" s="45"/>
      <c r="AC33" s="45"/>
      <c r="AD33" s="45"/>
      <c r="AE33" s="45"/>
      <c r="AH33" s="45"/>
      <c r="AI33" s="45"/>
      <c r="AJ33" s="45"/>
      <c r="AP33" s="45"/>
      <c r="AQ33" s="45"/>
      <c r="AR33" s="45"/>
      <c r="AU33" s="45"/>
      <c r="AV33" s="45"/>
      <c r="AW33" s="45"/>
      <c r="AZ33" s="45"/>
      <c r="BA33" s="45"/>
      <c r="BB33" s="45"/>
      <c r="BE33" s="45"/>
      <c r="BF33" s="45"/>
      <c r="BG33" s="45"/>
      <c r="BJ33" s="45"/>
      <c r="BK33" s="45"/>
      <c r="BL33" s="45"/>
      <c r="BR33" s="45"/>
      <c r="BS33" s="45"/>
      <c r="BT33" s="45"/>
      <c r="BW33" s="45"/>
      <c r="BX33" s="45"/>
      <c r="BY33" s="45"/>
      <c r="CB33" s="45"/>
      <c r="CC33" s="45"/>
      <c r="CD33" s="45"/>
      <c r="CG33" s="45"/>
      <c r="CH33" s="45"/>
      <c r="CI33" s="45"/>
      <c r="CL33" s="45"/>
      <c r="CM33" s="45"/>
      <c r="CN33" s="45"/>
      <c r="CT33" s="45"/>
      <c r="CU33" s="45"/>
      <c r="CV33" s="45"/>
      <c r="CY33" s="45"/>
      <c r="CZ33" s="45"/>
      <c r="DA33" s="45"/>
      <c r="DD33" s="45"/>
      <c r="DE33" s="45"/>
      <c r="DF33" s="45"/>
      <c r="DI33" s="45"/>
      <c r="DJ33" s="45"/>
      <c r="DK33" s="45"/>
      <c r="DN33" s="45"/>
      <c r="DO33" s="45"/>
      <c r="DP33" s="45"/>
      <c r="DV33" s="45"/>
      <c r="DW33" s="45"/>
      <c r="DX33" s="45"/>
      <c r="EA33" s="45"/>
      <c r="EB33" s="45"/>
      <c r="EC33" s="45"/>
      <c r="EF33" s="45"/>
      <c r="EG33" s="45"/>
      <c r="EH33" s="45"/>
      <c r="EK33" s="45"/>
      <c r="EL33" s="45"/>
      <c r="EM33" s="45"/>
      <c r="EP33" s="45"/>
      <c r="EQ33" s="45"/>
      <c r="ER33" s="45"/>
      <c r="EX33" s="45"/>
      <c r="EY33" s="45"/>
      <c r="EZ33" s="45"/>
      <c r="FC33" s="45"/>
      <c r="FD33" s="45"/>
      <c r="FE33" s="45"/>
      <c r="FH33" s="45"/>
      <c r="FI33" s="45"/>
      <c r="FJ33" s="45"/>
      <c r="FM33" s="45"/>
      <c r="FN33" s="45"/>
      <c r="FO33" s="45"/>
      <c r="FR33" s="45"/>
      <c r="FS33" s="45"/>
      <c r="FT33" s="45"/>
    </row>
    <row r="34" spans="14:176">
      <c r="N34" s="45"/>
      <c r="O34" s="45"/>
      <c r="P34" s="45"/>
      <c r="S34" s="45"/>
      <c r="T34" s="45"/>
      <c r="U34" s="45"/>
      <c r="X34" s="45"/>
      <c r="Y34" s="45"/>
      <c r="Z34" s="45"/>
      <c r="AC34" s="45"/>
      <c r="AD34" s="45"/>
      <c r="AE34" s="45"/>
      <c r="AH34" s="45"/>
      <c r="AI34" s="45"/>
      <c r="AJ34" s="45"/>
      <c r="AP34" s="45"/>
      <c r="AQ34" s="45"/>
      <c r="AR34" s="45"/>
      <c r="AU34" s="45"/>
      <c r="AV34" s="45"/>
      <c r="AW34" s="45"/>
      <c r="AZ34" s="45"/>
      <c r="BA34" s="45"/>
      <c r="BB34" s="45"/>
      <c r="BE34" s="45"/>
      <c r="BF34" s="45"/>
      <c r="BG34" s="45"/>
      <c r="BJ34" s="45"/>
      <c r="BK34" s="45"/>
      <c r="BL34" s="45"/>
      <c r="BR34" s="45"/>
      <c r="BS34" s="45"/>
      <c r="BT34" s="45"/>
      <c r="BW34" s="45"/>
      <c r="BX34" s="45"/>
      <c r="BY34" s="45"/>
      <c r="CB34" s="45"/>
      <c r="CC34" s="45"/>
      <c r="CD34" s="45"/>
      <c r="CG34" s="45"/>
      <c r="CH34" s="45"/>
      <c r="CI34" s="45"/>
      <c r="CL34" s="45"/>
      <c r="CM34" s="45"/>
      <c r="CN34" s="45"/>
      <c r="CT34" s="45"/>
      <c r="CU34" s="45"/>
      <c r="CV34" s="45"/>
      <c r="CY34" s="45"/>
      <c r="CZ34" s="45"/>
      <c r="DA34" s="45"/>
      <c r="DD34" s="45"/>
      <c r="DE34" s="45"/>
      <c r="DF34" s="45"/>
      <c r="DI34" s="45"/>
      <c r="DJ34" s="45"/>
      <c r="DK34" s="45"/>
      <c r="DN34" s="45"/>
      <c r="DO34" s="45"/>
      <c r="DP34" s="45"/>
      <c r="DV34" s="45"/>
      <c r="DW34" s="45"/>
      <c r="DX34" s="45"/>
      <c r="EA34" s="45"/>
      <c r="EB34" s="45"/>
      <c r="EC34" s="45"/>
      <c r="EF34" s="45"/>
      <c r="EG34" s="45"/>
      <c r="EH34" s="45"/>
      <c r="EK34" s="45"/>
      <c r="EL34" s="45"/>
      <c r="EM34" s="45"/>
      <c r="EP34" s="45"/>
      <c r="EQ34" s="45"/>
      <c r="ER34" s="45"/>
      <c r="EX34" s="45"/>
      <c r="EY34" s="45"/>
      <c r="EZ34" s="45"/>
      <c r="FC34" s="45"/>
      <c r="FD34" s="45"/>
      <c r="FE34" s="45"/>
      <c r="FH34" s="45"/>
      <c r="FI34" s="45"/>
      <c r="FJ34" s="45"/>
      <c r="FM34" s="45"/>
      <c r="FN34" s="45"/>
      <c r="FO34" s="45"/>
      <c r="FR34" s="45"/>
      <c r="FS34" s="45"/>
      <c r="FT34" s="45"/>
    </row>
    <row r="35" spans="14:176">
      <c r="N35" s="45"/>
      <c r="O35" s="45"/>
      <c r="P35" s="45"/>
      <c r="S35" s="45"/>
      <c r="T35" s="45"/>
      <c r="U35" s="45"/>
      <c r="X35" s="45"/>
      <c r="Y35" s="45"/>
      <c r="Z35" s="45"/>
      <c r="AC35" s="45"/>
      <c r="AD35" s="45"/>
      <c r="AE35" s="45"/>
      <c r="AH35" s="45"/>
      <c r="AI35" s="45"/>
      <c r="AJ35" s="45"/>
      <c r="AP35" s="45"/>
      <c r="AQ35" s="45"/>
      <c r="AR35" s="45"/>
      <c r="AU35" s="45"/>
      <c r="AV35" s="45"/>
      <c r="AW35" s="45"/>
      <c r="AZ35" s="45"/>
      <c r="BA35" s="45"/>
      <c r="BB35" s="45"/>
      <c r="BE35" s="45"/>
      <c r="BF35" s="45"/>
      <c r="BG35" s="45"/>
      <c r="BJ35" s="45"/>
      <c r="BK35" s="45"/>
      <c r="BL35" s="45"/>
      <c r="BR35" s="45"/>
      <c r="BS35" s="45"/>
      <c r="BT35" s="45"/>
      <c r="BW35" s="45"/>
      <c r="BX35" s="45"/>
      <c r="BY35" s="45"/>
      <c r="CB35" s="45"/>
      <c r="CC35" s="45"/>
      <c r="CD35" s="45"/>
      <c r="CG35" s="45"/>
      <c r="CH35" s="45"/>
      <c r="CI35" s="45"/>
      <c r="CL35" s="45"/>
      <c r="CM35" s="45"/>
      <c r="CN35" s="45"/>
      <c r="CT35" s="45"/>
      <c r="CU35" s="45"/>
      <c r="CV35" s="45"/>
      <c r="CY35" s="45"/>
      <c r="CZ35" s="45"/>
      <c r="DA35" s="45"/>
      <c r="DD35" s="45"/>
      <c r="DE35" s="45"/>
      <c r="DF35" s="45"/>
      <c r="DI35" s="45"/>
      <c r="DJ35" s="45"/>
      <c r="DK35" s="45"/>
      <c r="DN35" s="45"/>
      <c r="DO35" s="45"/>
      <c r="DP35" s="45"/>
      <c r="DV35" s="45"/>
      <c r="DW35" s="45"/>
      <c r="DX35" s="45"/>
      <c r="EA35" s="45"/>
      <c r="EB35" s="45"/>
      <c r="EC35" s="45"/>
      <c r="EF35" s="45"/>
      <c r="EG35" s="45"/>
      <c r="EH35" s="45"/>
      <c r="EK35" s="45"/>
      <c r="EL35" s="45"/>
      <c r="EM35" s="45"/>
      <c r="EP35" s="45"/>
      <c r="EQ35" s="45"/>
      <c r="ER35" s="45"/>
      <c r="EX35" s="45"/>
      <c r="EY35" s="45"/>
      <c r="EZ35" s="45"/>
      <c r="FC35" s="45"/>
      <c r="FD35" s="45"/>
      <c r="FE35" s="45"/>
      <c r="FH35" s="45"/>
      <c r="FI35" s="45"/>
      <c r="FJ35" s="45"/>
      <c r="FM35" s="45"/>
      <c r="FN35" s="45"/>
      <c r="FO35" s="45"/>
      <c r="FR35" s="45"/>
      <c r="FS35" s="45"/>
      <c r="FT35" s="45"/>
    </row>
    <row r="36" spans="14:176">
      <c r="N36" s="45"/>
      <c r="O36" s="45"/>
      <c r="P36" s="45"/>
      <c r="S36" s="45"/>
      <c r="T36" s="45"/>
      <c r="U36" s="45"/>
      <c r="X36" s="45"/>
      <c r="Y36" s="45"/>
      <c r="Z36" s="45"/>
      <c r="AC36" s="45"/>
      <c r="AD36" s="45"/>
      <c r="AE36" s="45"/>
      <c r="AH36" s="45"/>
      <c r="AI36" s="45"/>
      <c r="AJ36" s="45"/>
      <c r="AP36" s="45"/>
      <c r="AQ36" s="45"/>
      <c r="AR36" s="45"/>
      <c r="AU36" s="45"/>
      <c r="AV36" s="45"/>
      <c r="AW36" s="45"/>
      <c r="AZ36" s="45"/>
      <c r="BA36" s="45"/>
      <c r="BB36" s="45"/>
      <c r="BE36" s="45"/>
      <c r="BF36" s="45"/>
      <c r="BG36" s="45"/>
      <c r="BJ36" s="45"/>
      <c r="BK36" s="45"/>
      <c r="BL36" s="45"/>
      <c r="BR36" s="45"/>
      <c r="BS36" s="45"/>
      <c r="BT36" s="45"/>
      <c r="BW36" s="45"/>
      <c r="BX36" s="45"/>
      <c r="BY36" s="45"/>
      <c r="CB36" s="45"/>
      <c r="CC36" s="45"/>
      <c r="CD36" s="45"/>
      <c r="CG36" s="45"/>
      <c r="CH36" s="45"/>
      <c r="CI36" s="45"/>
      <c r="CL36" s="45"/>
      <c r="CM36" s="45"/>
      <c r="CN36" s="45"/>
      <c r="CT36" s="45"/>
      <c r="CU36" s="45"/>
      <c r="CV36" s="45"/>
      <c r="CY36" s="45"/>
      <c r="CZ36" s="45"/>
      <c r="DA36" s="45"/>
      <c r="DD36" s="45"/>
      <c r="DE36" s="45"/>
      <c r="DF36" s="45"/>
      <c r="DI36" s="45"/>
      <c r="DJ36" s="45"/>
      <c r="DK36" s="45"/>
      <c r="DN36" s="45"/>
      <c r="DO36" s="45"/>
      <c r="DP36" s="45"/>
      <c r="DV36" s="45"/>
      <c r="DW36" s="45"/>
      <c r="DX36" s="45"/>
      <c r="EA36" s="45"/>
      <c r="EB36" s="45"/>
      <c r="EC36" s="45"/>
      <c r="EF36" s="45"/>
      <c r="EG36" s="45"/>
      <c r="EH36" s="45"/>
      <c r="EK36" s="45"/>
      <c r="EL36" s="45"/>
      <c r="EM36" s="45"/>
      <c r="EP36" s="45"/>
      <c r="EQ36" s="45"/>
      <c r="ER36" s="45"/>
      <c r="EX36" s="45"/>
      <c r="EY36" s="45"/>
      <c r="EZ36" s="45"/>
      <c r="FC36" s="45"/>
      <c r="FD36" s="45"/>
      <c r="FE36" s="45"/>
      <c r="FH36" s="45"/>
      <c r="FI36" s="45"/>
      <c r="FJ36" s="45"/>
      <c r="FM36" s="45"/>
      <c r="FN36" s="45"/>
      <c r="FO36" s="45"/>
      <c r="FR36" s="45"/>
      <c r="FS36" s="45"/>
      <c r="FT36" s="45"/>
    </row>
    <row r="37" spans="14:176">
      <c r="N37" s="45"/>
      <c r="O37" s="45"/>
      <c r="P37" s="45"/>
      <c r="S37" s="45"/>
      <c r="T37" s="45"/>
      <c r="U37" s="45"/>
      <c r="X37" s="45"/>
      <c r="Y37" s="45"/>
      <c r="Z37" s="45"/>
      <c r="AC37" s="45"/>
      <c r="AD37" s="45"/>
      <c r="AE37" s="45"/>
      <c r="AH37" s="45"/>
      <c r="AI37" s="45"/>
      <c r="AJ37" s="45"/>
      <c r="AP37" s="45"/>
      <c r="AQ37" s="45"/>
      <c r="AR37" s="45"/>
      <c r="AU37" s="45"/>
      <c r="AV37" s="45"/>
      <c r="AW37" s="45"/>
      <c r="AZ37" s="45"/>
      <c r="BA37" s="45"/>
      <c r="BB37" s="45"/>
      <c r="BE37" s="45"/>
      <c r="BF37" s="45"/>
      <c r="BG37" s="45"/>
      <c r="BJ37" s="45"/>
      <c r="BK37" s="45"/>
      <c r="BL37" s="45"/>
      <c r="BR37" s="45"/>
      <c r="BS37" s="45"/>
      <c r="BT37" s="45"/>
      <c r="BW37" s="45"/>
      <c r="BX37" s="45"/>
      <c r="BY37" s="45"/>
      <c r="CB37" s="45"/>
      <c r="CC37" s="45"/>
      <c r="CD37" s="45"/>
      <c r="CG37" s="45"/>
      <c r="CH37" s="45"/>
      <c r="CI37" s="45"/>
      <c r="CL37" s="45"/>
      <c r="CM37" s="45"/>
      <c r="CN37" s="45"/>
      <c r="CT37" s="45"/>
      <c r="CU37" s="45"/>
      <c r="CV37" s="45"/>
      <c r="CY37" s="45"/>
      <c r="CZ37" s="45"/>
      <c r="DA37" s="45"/>
      <c r="DD37" s="45"/>
      <c r="DE37" s="45"/>
      <c r="DF37" s="45"/>
      <c r="DI37" s="45"/>
      <c r="DJ37" s="45"/>
      <c r="DK37" s="45"/>
      <c r="DN37" s="45"/>
      <c r="DO37" s="45"/>
      <c r="DP37" s="45"/>
      <c r="DV37" s="45"/>
      <c r="DW37" s="45"/>
      <c r="DX37" s="45"/>
      <c r="EA37" s="45"/>
      <c r="EB37" s="45"/>
      <c r="EC37" s="45"/>
      <c r="EF37" s="45"/>
      <c r="EG37" s="45"/>
      <c r="EH37" s="45"/>
      <c r="EK37" s="45"/>
      <c r="EL37" s="45"/>
      <c r="EM37" s="45"/>
      <c r="EP37" s="45"/>
      <c r="EQ37" s="45"/>
      <c r="ER37" s="45"/>
      <c r="EX37" s="45"/>
      <c r="EY37" s="45"/>
      <c r="EZ37" s="45"/>
      <c r="FC37" s="45"/>
      <c r="FD37" s="45"/>
      <c r="FE37" s="45"/>
      <c r="FH37" s="45"/>
      <c r="FI37" s="45"/>
      <c r="FJ37" s="45"/>
      <c r="FM37" s="45"/>
      <c r="FN37" s="45"/>
      <c r="FO37" s="45"/>
      <c r="FR37" s="45"/>
      <c r="FS37" s="45"/>
      <c r="FT37" s="45"/>
    </row>
    <row r="38" spans="14:176">
      <c r="N38" s="45"/>
      <c r="O38" s="45"/>
      <c r="P38" s="45"/>
      <c r="S38" s="45"/>
      <c r="T38" s="45"/>
      <c r="U38" s="45"/>
      <c r="X38" s="45"/>
      <c r="Y38" s="45"/>
      <c r="Z38" s="45"/>
      <c r="AC38" s="45"/>
      <c r="AD38" s="45"/>
      <c r="AE38" s="45"/>
      <c r="AH38" s="45"/>
      <c r="AI38" s="45"/>
      <c r="AJ38" s="45"/>
      <c r="AP38" s="45"/>
      <c r="AQ38" s="45"/>
      <c r="AR38" s="45"/>
      <c r="AU38" s="45"/>
      <c r="AV38" s="45"/>
      <c r="AW38" s="45"/>
      <c r="AZ38" s="45"/>
      <c r="BA38" s="45"/>
      <c r="BB38" s="45"/>
      <c r="BE38" s="45"/>
      <c r="BF38" s="45"/>
      <c r="BG38" s="45"/>
      <c r="BJ38" s="45"/>
      <c r="BK38" s="45"/>
      <c r="BL38" s="45"/>
      <c r="BR38" s="45"/>
      <c r="BS38" s="45"/>
      <c r="BT38" s="45"/>
      <c r="BW38" s="45"/>
      <c r="BX38" s="45"/>
      <c r="BY38" s="45"/>
      <c r="CB38" s="45"/>
      <c r="CC38" s="45"/>
      <c r="CD38" s="45"/>
      <c r="CG38" s="45"/>
      <c r="CH38" s="45"/>
      <c r="CI38" s="45"/>
      <c r="CL38" s="45"/>
      <c r="CM38" s="45"/>
      <c r="CN38" s="45"/>
      <c r="CT38" s="45"/>
      <c r="CU38" s="45"/>
      <c r="CV38" s="45"/>
      <c r="CY38" s="45"/>
      <c r="CZ38" s="45"/>
      <c r="DA38" s="45"/>
      <c r="DD38" s="45"/>
      <c r="DE38" s="45"/>
      <c r="DF38" s="45"/>
      <c r="DI38" s="45"/>
      <c r="DJ38" s="45"/>
      <c r="DK38" s="45"/>
      <c r="DN38" s="45"/>
      <c r="DO38" s="45"/>
      <c r="DP38" s="45"/>
      <c r="DV38" s="45"/>
      <c r="DW38" s="45"/>
      <c r="DX38" s="45"/>
      <c r="EA38" s="45"/>
      <c r="EB38" s="45"/>
      <c r="EC38" s="45"/>
      <c r="EF38" s="45"/>
      <c r="EG38" s="45"/>
      <c r="EH38" s="45"/>
      <c r="EK38" s="45"/>
      <c r="EL38" s="45"/>
      <c r="EM38" s="45"/>
      <c r="EP38" s="45"/>
      <c r="EQ38" s="45"/>
      <c r="ER38" s="45"/>
      <c r="EX38" s="45"/>
      <c r="EY38" s="45"/>
      <c r="EZ38" s="45"/>
      <c r="FC38" s="45"/>
      <c r="FD38" s="45"/>
      <c r="FE38" s="45"/>
      <c r="FH38" s="45"/>
      <c r="FI38" s="45"/>
      <c r="FJ38" s="45"/>
      <c r="FM38" s="45"/>
      <c r="FN38" s="45"/>
      <c r="FO38" s="45"/>
      <c r="FR38" s="45"/>
      <c r="FS38" s="45"/>
      <c r="FT38" s="45"/>
    </row>
    <row r="39" spans="14:176">
      <c r="N39" s="45"/>
      <c r="O39" s="45"/>
      <c r="P39" s="45"/>
      <c r="S39" s="45"/>
      <c r="T39" s="45"/>
      <c r="U39" s="45"/>
      <c r="X39" s="45"/>
      <c r="Y39" s="45"/>
      <c r="Z39" s="45"/>
      <c r="AC39" s="45"/>
      <c r="AD39" s="45"/>
      <c r="AE39" s="45"/>
      <c r="AH39" s="45"/>
      <c r="AI39" s="45"/>
      <c r="AJ39" s="45"/>
      <c r="AP39" s="45"/>
      <c r="AQ39" s="45"/>
      <c r="AR39" s="45"/>
      <c r="AU39" s="45"/>
      <c r="AV39" s="45"/>
      <c r="AW39" s="45"/>
      <c r="AZ39" s="45"/>
      <c r="BA39" s="45"/>
      <c r="BB39" s="45"/>
      <c r="BE39" s="45"/>
      <c r="BF39" s="45"/>
      <c r="BG39" s="45"/>
      <c r="BJ39" s="45"/>
      <c r="BK39" s="45"/>
      <c r="BL39" s="45"/>
      <c r="BR39" s="45"/>
      <c r="BS39" s="45"/>
      <c r="BT39" s="45"/>
      <c r="BW39" s="45"/>
      <c r="BX39" s="45"/>
      <c r="BY39" s="45"/>
      <c r="CB39" s="45"/>
      <c r="CC39" s="45"/>
      <c r="CD39" s="45"/>
      <c r="CG39" s="45"/>
      <c r="CH39" s="45"/>
      <c r="CI39" s="45"/>
      <c r="CL39" s="45"/>
      <c r="CM39" s="45"/>
      <c r="CN39" s="45"/>
      <c r="CT39" s="45"/>
      <c r="CU39" s="45"/>
      <c r="CV39" s="45"/>
      <c r="CY39" s="45"/>
      <c r="CZ39" s="45"/>
      <c r="DA39" s="45"/>
      <c r="DD39" s="45"/>
      <c r="DE39" s="45"/>
      <c r="DF39" s="45"/>
      <c r="DI39" s="45"/>
      <c r="DJ39" s="45"/>
      <c r="DK39" s="45"/>
      <c r="DN39" s="45"/>
      <c r="DO39" s="45"/>
      <c r="DP39" s="45"/>
      <c r="DV39" s="45"/>
      <c r="DW39" s="45"/>
      <c r="DX39" s="45"/>
      <c r="EA39" s="45"/>
      <c r="EB39" s="45"/>
      <c r="EC39" s="45"/>
      <c r="EF39" s="45"/>
      <c r="EG39" s="45"/>
      <c r="EH39" s="45"/>
      <c r="EK39" s="45"/>
      <c r="EL39" s="45"/>
      <c r="EM39" s="45"/>
      <c r="EP39" s="45"/>
      <c r="EQ39" s="45"/>
      <c r="ER39" s="45"/>
      <c r="EX39" s="45"/>
      <c r="EY39" s="45"/>
      <c r="EZ39" s="45"/>
      <c r="FC39" s="45"/>
      <c r="FD39" s="45"/>
      <c r="FE39" s="45"/>
      <c r="FH39" s="45"/>
      <c r="FI39" s="45"/>
      <c r="FJ39" s="45"/>
      <c r="FM39" s="45"/>
      <c r="FN39" s="45"/>
      <c r="FO39" s="45"/>
      <c r="FR39" s="45"/>
      <c r="FS39" s="45"/>
      <c r="FT39" s="45"/>
    </row>
    <row r="40" spans="14:176">
      <c r="N40" s="45"/>
      <c r="O40" s="45"/>
      <c r="P40" s="45"/>
      <c r="S40" s="45"/>
      <c r="T40" s="45"/>
      <c r="U40" s="45"/>
      <c r="X40" s="45"/>
      <c r="Y40" s="45"/>
      <c r="Z40" s="45"/>
      <c r="AC40" s="45"/>
      <c r="AD40" s="45"/>
      <c r="AE40" s="45"/>
      <c r="AH40" s="45"/>
      <c r="AI40" s="45"/>
      <c r="AJ40" s="45"/>
      <c r="AP40" s="45"/>
      <c r="AQ40" s="45"/>
      <c r="AR40" s="45"/>
      <c r="AU40" s="45"/>
      <c r="AV40" s="45"/>
      <c r="AW40" s="45"/>
      <c r="AZ40" s="45"/>
      <c r="BA40" s="45"/>
      <c r="BB40" s="45"/>
      <c r="BE40" s="45"/>
      <c r="BF40" s="45"/>
      <c r="BG40" s="45"/>
      <c r="BJ40" s="45"/>
      <c r="BK40" s="45"/>
      <c r="BL40" s="45"/>
      <c r="BR40" s="45"/>
      <c r="BS40" s="45"/>
      <c r="BT40" s="45"/>
      <c r="BW40" s="45"/>
      <c r="BX40" s="45"/>
      <c r="BY40" s="45"/>
      <c r="CB40" s="45"/>
      <c r="CC40" s="45"/>
      <c r="CD40" s="45"/>
      <c r="CG40" s="45"/>
      <c r="CH40" s="45"/>
      <c r="CI40" s="45"/>
      <c r="CL40" s="45"/>
      <c r="CM40" s="45"/>
      <c r="CN40" s="45"/>
      <c r="CT40" s="45"/>
      <c r="CU40" s="45"/>
      <c r="CV40" s="45"/>
      <c r="CY40" s="45"/>
      <c r="CZ40" s="45"/>
      <c r="DA40" s="45"/>
      <c r="DD40" s="45"/>
      <c r="DE40" s="45"/>
      <c r="DF40" s="45"/>
      <c r="DI40" s="45"/>
      <c r="DJ40" s="45"/>
      <c r="DK40" s="45"/>
      <c r="DN40" s="45"/>
      <c r="DO40" s="45"/>
      <c r="DP40" s="45"/>
      <c r="DV40" s="45"/>
      <c r="DW40" s="45"/>
      <c r="DX40" s="45"/>
      <c r="EA40" s="45"/>
      <c r="EB40" s="45"/>
      <c r="EC40" s="45"/>
      <c r="EF40" s="45"/>
      <c r="EG40" s="45"/>
      <c r="EH40" s="45"/>
      <c r="EK40" s="45"/>
      <c r="EL40" s="45"/>
      <c r="EM40" s="45"/>
      <c r="EP40" s="45"/>
      <c r="EQ40" s="45"/>
      <c r="ER40" s="45"/>
      <c r="EX40" s="45"/>
      <c r="EY40" s="45"/>
      <c r="EZ40" s="45"/>
      <c r="FC40" s="45"/>
      <c r="FD40" s="45"/>
      <c r="FE40" s="45"/>
      <c r="FH40" s="45"/>
      <c r="FI40" s="45"/>
      <c r="FJ40" s="45"/>
      <c r="FM40" s="45"/>
      <c r="FN40" s="45"/>
      <c r="FO40" s="45"/>
      <c r="FR40" s="45"/>
      <c r="FS40" s="45"/>
      <c r="FT40" s="45"/>
    </row>
    <row r="41" spans="14:176">
      <c r="N41" s="45"/>
      <c r="O41" s="45"/>
      <c r="P41" s="45"/>
      <c r="S41" s="45"/>
      <c r="T41" s="45"/>
      <c r="U41" s="45"/>
      <c r="X41" s="45"/>
      <c r="Y41" s="45"/>
      <c r="Z41" s="45"/>
      <c r="AC41" s="45"/>
      <c r="AD41" s="45"/>
      <c r="AE41" s="45"/>
      <c r="AH41" s="45"/>
      <c r="AI41" s="45"/>
      <c r="AJ41" s="45"/>
      <c r="AP41" s="45"/>
      <c r="AQ41" s="45"/>
      <c r="AR41" s="45"/>
      <c r="AU41" s="45"/>
      <c r="AV41" s="45"/>
      <c r="AW41" s="45"/>
      <c r="AZ41" s="45"/>
      <c r="BA41" s="45"/>
      <c r="BB41" s="45"/>
      <c r="BE41" s="45"/>
      <c r="BF41" s="45"/>
      <c r="BG41" s="45"/>
      <c r="BJ41" s="45"/>
      <c r="BK41" s="45"/>
      <c r="BL41" s="45"/>
      <c r="BR41" s="45"/>
      <c r="BS41" s="45"/>
      <c r="BT41" s="45"/>
      <c r="BW41" s="45"/>
      <c r="BX41" s="45"/>
      <c r="BY41" s="45"/>
      <c r="CB41" s="45"/>
      <c r="CC41" s="45"/>
      <c r="CD41" s="45"/>
      <c r="CG41" s="45"/>
      <c r="CH41" s="45"/>
      <c r="CI41" s="45"/>
      <c r="CL41" s="45"/>
      <c r="CM41" s="45"/>
      <c r="CN41" s="45"/>
      <c r="CT41" s="45"/>
      <c r="CU41" s="45"/>
      <c r="CV41" s="45"/>
      <c r="CY41" s="45"/>
      <c r="CZ41" s="45"/>
      <c r="DA41" s="45"/>
      <c r="DD41" s="45"/>
      <c r="DE41" s="45"/>
      <c r="DF41" s="45"/>
      <c r="DI41" s="45"/>
      <c r="DJ41" s="45"/>
      <c r="DK41" s="45"/>
      <c r="DN41" s="45"/>
      <c r="DO41" s="45"/>
      <c r="DP41" s="45"/>
      <c r="DV41" s="45"/>
      <c r="DW41" s="45"/>
      <c r="DX41" s="45"/>
      <c r="EA41" s="45"/>
      <c r="EB41" s="45"/>
      <c r="EC41" s="45"/>
      <c r="EF41" s="45"/>
      <c r="EG41" s="45"/>
      <c r="EH41" s="45"/>
      <c r="EK41" s="45"/>
      <c r="EL41" s="45"/>
      <c r="EM41" s="45"/>
      <c r="EP41" s="45"/>
      <c r="EQ41" s="45"/>
      <c r="ER41" s="45"/>
      <c r="EX41" s="45"/>
      <c r="EY41" s="45"/>
      <c r="EZ41" s="45"/>
      <c r="FC41" s="45"/>
      <c r="FD41" s="45"/>
      <c r="FE41" s="45"/>
      <c r="FH41" s="45"/>
      <c r="FI41" s="45"/>
      <c r="FJ41" s="45"/>
      <c r="FM41" s="45"/>
      <c r="FN41" s="45"/>
      <c r="FO41" s="45"/>
      <c r="FR41" s="45"/>
      <c r="FS41" s="45"/>
      <c r="FT41" s="45"/>
    </row>
    <row r="42" spans="14:176">
      <c r="N42" s="45"/>
      <c r="O42" s="45"/>
      <c r="P42" s="45"/>
      <c r="S42" s="45"/>
      <c r="T42" s="45"/>
      <c r="U42" s="45"/>
      <c r="X42" s="45"/>
      <c r="Y42" s="45"/>
      <c r="Z42" s="45"/>
      <c r="AC42" s="45"/>
      <c r="AD42" s="45"/>
      <c r="AE42" s="45"/>
      <c r="AH42" s="45"/>
      <c r="AI42" s="45"/>
      <c r="AJ42" s="45"/>
      <c r="AP42" s="45"/>
      <c r="AQ42" s="45"/>
      <c r="AR42" s="45"/>
      <c r="AU42" s="45"/>
      <c r="AV42" s="45"/>
      <c r="AW42" s="45"/>
      <c r="AZ42" s="45"/>
      <c r="BA42" s="45"/>
      <c r="BB42" s="45"/>
      <c r="BE42" s="45"/>
      <c r="BF42" s="45"/>
      <c r="BG42" s="45"/>
      <c r="BJ42" s="45"/>
      <c r="BK42" s="45"/>
      <c r="BL42" s="45"/>
      <c r="BR42" s="45"/>
      <c r="BS42" s="45"/>
      <c r="BT42" s="45"/>
      <c r="BW42" s="45"/>
      <c r="BX42" s="45"/>
      <c r="BY42" s="45"/>
      <c r="CB42" s="45"/>
      <c r="CC42" s="45"/>
      <c r="CD42" s="45"/>
      <c r="CG42" s="45"/>
      <c r="CH42" s="45"/>
      <c r="CI42" s="45"/>
      <c r="CL42" s="45"/>
      <c r="CM42" s="45"/>
      <c r="CN42" s="45"/>
      <c r="CT42" s="45"/>
      <c r="CU42" s="45"/>
      <c r="CV42" s="45"/>
      <c r="CY42" s="45"/>
      <c r="CZ42" s="45"/>
      <c r="DA42" s="45"/>
      <c r="DD42" s="45"/>
      <c r="DE42" s="45"/>
      <c r="DF42" s="45"/>
      <c r="DI42" s="45"/>
      <c r="DJ42" s="45"/>
      <c r="DK42" s="45"/>
      <c r="DN42" s="45"/>
      <c r="DO42" s="45"/>
      <c r="DP42" s="45"/>
      <c r="DV42" s="45"/>
      <c r="DW42" s="45"/>
      <c r="DX42" s="45"/>
      <c r="EA42" s="45"/>
      <c r="EB42" s="45"/>
      <c r="EC42" s="45"/>
      <c r="EF42" s="45"/>
      <c r="EG42" s="45"/>
      <c r="EH42" s="45"/>
      <c r="EK42" s="45"/>
      <c r="EL42" s="45"/>
      <c r="EM42" s="45"/>
      <c r="EP42" s="45"/>
      <c r="EQ42" s="45"/>
      <c r="ER42" s="45"/>
      <c r="EX42" s="45"/>
      <c r="EY42" s="45"/>
      <c r="EZ42" s="45"/>
      <c r="FC42" s="45"/>
      <c r="FD42" s="45"/>
      <c r="FE42" s="45"/>
      <c r="FH42" s="45"/>
      <c r="FI42" s="45"/>
      <c r="FJ42" s="45"/>
      <c r="FM42" s="45"/>
      <c r="FN42" s="45"/>
      <c r="FO42" s="45"/>
      <c r="FR42" s="45"/>
      <c r="FS42" s="45"/>
      <c r="FT42" s="45"/>
    </row>
    <row r="43" spans="14:176">
      <c r="N43" s="45"/>
      <c r="O43" s="45"/>
      <c r="P43" s="45"/>
      <c r="S43" s="45"/>
      <c r="T43" s="45"/>
      <c r="U43" s="45"/>
      <c r="X43" s="45"/>
      <c r="Y43" s="45"/>
      <c r="Z43" s="45"/>
      <c r="AC43" s="45"/>
      <c r="AD43" s="45"/>
      <c r="AE43" s="45"/>
      <c r="AH43" s="45"/>
      <c r="AI43" s="45"/>
      <c r="AJ43" s="45"/>
      <c r="AP43" s="45"/>
      <c r="AQ43" s="45"/>
      <c r="AR43" s="45"/>
      <c r="AU43" s="45"/>
      <c r="AV43" s="45"/>
      <c r="AW43" s="45"/>
      <c r="AZ43" s="45"/>
      <c r="BA43" s="45"/>
      <c r="BB43" s="45"/>
      <c r="BE43" s="45"/>
      <c r="BF43" s="45"/>
      <c r="BG43" s="45"/>
      <c r="BJ43" s="45"/>
      <c r="BK43" s="45"/>
      <c r="BL43" s="45"/>
      <c r="BR43" s="45"/>
      <c r="BS43" s="45"/>
      <c r="BT43" s="45"/>
      <c r="BW43" s="45"/>
      <c r="BX43" s="45"/>
      <c r="BY43" s="45"/>
      <c r="CB43" s="45"/>
      <c r="CC43" s="45"/>
      <c r="CD43" s="45"/>
      <c r="CG43" s="45"/>
      <c r="CH43" s="45"/>
      <c r="CI43" s="45"/>
      <c r="CL43" s="45"/>
      <c r="CM43" s="45"/>
      <c r="CN43" s="45"/>
      <c r="CT43" s="45"/>
      <c r="CU43" s="45"/>
      <c r="CV43" s="45"/>
      <c r="CY43" s="45"/>
      <c r="CZ43" s="45"/>
      <c r="DA43" s="45"/>
      <c r="DD43" s="45"/>
      <c r="DE43" s="45"/>
      <c r="DF43" s="45"/>
      <c r="DI43" s="45"/>
      <c r="DJ43" s="45"/>
      <c r="DK43" s="45"/>
      <c r="DN43" s="45"/>
      <c r="DO43" s="45"/>
      <c r="DP43" s="45"/>
      <c r="DV43" s="45"/>
      <c r="DW43" s="45"/>
      <c r="DX43" s="45"/>
      <c r="EA43" s="45"/>
      <c r="EB43" s="45"/>
      <c r="EC43" s="45"/>
      <c r="EF43" s="45"/>
      <c r="EG43" s="45"/>
      <c r="EH43" s="45"/>
      <c r="EK43" s="45"/>
      <c r="EL43" s="45"/>
      <c r="EM43" s="45"/>
      <c r="EP43" s="45"/>
      <c r="EQ43" s="45"/>
      <c r="ER43" s="45"/>
      <c r="EX43" s="45"/>
      <c r="EY43" s="45"/>
      <c r="EZ43" s="45"/>
      <c r="FC43" s="45"/>
      <c r="FD43" s="45"/>
      <c r="FE43" s="45"/>
      <c r="FH43" s="45"/>
      <c r="FI43" s="45"/>
      <c r="FJ43" s="45"/>
      <c r="FM43" s="45"/>
      <c r="FN43" s="45"/>
      <c r="FO43" s="45"/>
      <c r="FR43" s="45"/>
      <c r="FS43" s="45"/>
      <c r="FT43" s="45"/>
    </row>
    <row r="44" spans="14:176">
      <c r="N44" s="45"/>
      <c r="O44" s="45"/>
      <c r="P44" s="45"/>
      <c r="S44" s="45"/>
      <c r="T44" s="45"/>
      <c r="U44" s="45"/>
      <c r="X44" s="45"/>
      <c r="Y44" s="45"/>
      <c r="Z44" s="45"/>
      <c r="AC44" s="45"/>
      <c r="AD44" s="45"/>
      <c r="AE44" s="45"/>
      <c r="AH44" s="45"/>
      <c r="AI44" s="45"/>
      <c r="AJ44" s="45"/>
      <c r="AP44" s="45"/>
      <c r="AQ44" s="45"/>
      <c r="AR44" s="45"/>
      <c r="AU44" s="45"/>
      <c r="AV44" s="45"/>
      <c r="AW44" s="45"/>
      <c r="AZ44" s="45"/>
      <c r="BA44" s="45"/>
      <c r="BB44" s="45"/>
      <c r="BE44" s="45"/>
      <c r="BF44" s="45"/>
      <c r="BG44" s="45"/>
      <c r="BJ44" s="45"/>
      <c r="BK44" s="45"/>
      <c r="BL44" s="45"/>
      <c r="BR44" s="45"/>
      <c r="BS44" s="45"/>
      <c r="BT44" s="45"/>
      <c r="BW44" s="45"/>
      <c r="BX44" s="45"/>
      <c r="BY44" s="45"/>
      <c r="CB44" s="45"/>
      <c r="CC44" s="45"/>
      <c r="CD44" s="45"/>
      <c r="CG44" s="45"/>
      <c r="CH44" s="45"/>
      <c r="CI44" s="45"/>
      <c r="CL44" s="45"/>
      <c r="CM44" s="45"/>
      <c r="CN44" s="45"/>
      <c r="CT44" s="45"/>
      <c r="CU44" s="45"/>
      <c r="CV44" s="45"/>
      <c r="CY44" s="45"/>
      <c r="CZ44" s="45"/>
      <c r="DA44" s="45"/>
      <c r="DD44" s="45"/>
      <c r="DE44" s="45"/>
      <c r="DF44" s="45"/>
      <c r="DI44" s="45"/>
      <c r="DJ44" s="45"/>
      <c r="DK44" s="45"/>
      <c r="DN44" s="45"/>
      <c r="DO44" s="45"/>
      <c r="DP44" s="45"/>
      <c r="DV44" s="45"/>
      <c r="DW44" s="45"/>
      <c r="DX44" s="45"/>
      <c r="EA44" s="45"/>
      <c r="EB44" s="45"/>
      <c r="EC44" s="45"/>
      <c r="EF44" s="45"/>
      <c r="EG44" s="45"/>
      <c r="EH44" s="45"/>
      <c r="EK44" s="45"/>
      <c r="EL44" s="45"/>
      <c r="EM44" s="45"/>
      <c r="EP44" s="45"/>
      <c r="EQ44" s="45"/>
      <c r="ER44" s="45"/>
      <c r="EX44" s="45"/>
      <c r="EY44" s="45"/>
      <c r="EZ44" s="45"/>
      <c r="FC44" s="45"/>
      <c r="FD44" s="45"/>
      <c r="FE44" s="45"/>
      <c r="FH44" s="45"/>
      <c r="FI44" s="45"/>
      <c r="FJ44" s="45"/>
      <c r="FM44" s="45"/>
      <c r="FN44" s="45"/>
      <c r="FO44" s="45"/>
      <c r="FR44" s="45"/>
      <c r="FS44" s="45"/>
      <c r="FT44" s="45"/>
    </row>
    <row r="45" spans="14:176">
      <c r="N45" s="45"/>
      <c r="O45" s="45"/>
      <c r="P45" s="45"/>
      <c r="S45" s="45"/>
      <c r="T45" s="45"/>
      <c r="U45" s="45"/>
      <c r="X45" s="45"/>
      <c r="Y45" s="45"/>
      <c r="Z45" s="45"/>
      <c r="AC45" s="45"/>
      <c r="AD45" s="45"/>
      <c r="AE45" s="45"/>
      <c r="AH45" s="45"/>
      <c r="AI45" s="45"/>
      <c r="AJ45" s="45"/>
      <c r="AP45" s="45"/>
      <c r="AQ45" s="45"/>
      <c r="AR45" s="45"/>
      <c r="AU45" s="45"/>
      <c r="AV45" s="45"/>
      <c r="AW45" s="45"/>
      <c r="AZ45" s="45"/>
      <c r="BA45" s="45"/>
      <c r="BB45" s="45"/>
      <c r="BE45" s="45"/>
      <c r="BF45" s="45"/>
      <c r="BG45" s="45"/>
      <c r="BJ45" s="45"/>
      <c r="BK45" s="45"/>
      <c r="BL45" s="45"/>
      <c r="BR45" s="45"/>
      <c r="BS45" s="45"/>
      <c r="BT45" s="45"/>
      <c r="BW45" s="45"/>
      <c r="BX45" s="45"/>
      <c r="BY45" s="45"/>
      <c r="CB45" s="45"/>
      <c r="CC45" s="45"/>
      <c r="CD45" s="45"/>
      <c r="CG45" s="45"/>
      <c r="CH45" s="45"/>
      <c r="CI45" s="45"/>
      <c r="CL45" s="45"/>
      <c r="CM45" s="45"/>
      <c r="CN45" s="45"/>
      <c r="CT45" s="45"/>
      <c r="CU45" s="45"/>
      <c r="CV45" s="45"/>
      <c r="CY45" s="45"/>
      <c r="CZ45" s="45"/>
      <c r="DA45" s="45"/>
      <c r="DD45" s="45"/>
      <c r="DE45" s="45"/>
      <c r="DF45" s="45"/>
      <c r="DI45" s="45"/>
      <c r="DJ45" s="45"/>
      <c r="DK45" s="45"/>
      <c r="DN45" s="45"/>
      <c r="DO45" s="45"/>
      <c r="DP45" s="45"/>
      <c r="DV45" s="45"/>
      <c r="DW45" s="45"/>
      <c r="DX45" s="45"/>
      <c r="EA45" s="45"/>
      <c r="EB45" s="45"/>
      <c r="EC45" s="45"/>
      <c r="EF45" s="45"/>
      <c r="EG45" s="45"/>
      <c r="EH45" s="45"/>
      <c r="EK45" s="45"/>
      <c r="EL45" s="45"/>
      <c r="EM45" s="45"/>
      <c r="EP45" s="45"/>
      <c r="EQ45" s="45"/>
      <c r="ER45" s="45"/>
      <c r="EX45" s="45"/>
      <c r="EY45" s="45"/>
      <c r="EZ45" s="45"/>
      <c r="FC45" s="45"/>
      <c r="FD45" s="45"/>
      <c r="FE45" s="45"/>
      <c r="FH45" s="45"/>
      <c r="FI45" s="45"/>
      <c r="FJ45" s="45"/>
      <c r="FM45" s="45"/>
      <c r="FN45" s="45"/>
      <c r="FO45" s="45"/>
      <c r="FR45" s="45"/>
      <c r="FS45" s="45"/>
      <c r="FT45" s="45"/>
    </row>
    <row r="46" spans="14:176">
      <c r="N46" s="45"/>
      <c r="O46" s="45"/>
      <c r="P46" s="45"/>
      <c r="S46" s="45"/>
      <c r="T46" s="45"/>
      <c r="U46" s="45"/>
      <c r="X46" s="45"/>
      <c r="Y46" s="45"/>
      <c r="Z46" s="45"/>
      <c r="AC46" s="45"/>
      <c r="AD46" s="45"/>
      <c r="AE46" s="45"/>
      <c r="AH46" s="45"/>
      <c r="AI46" s="45"/>
      <c r="AJ46" s="45"/>
      <c r="AP46" s="45"/>
      <c r="AQ46" s="45"/>
      <c r="AR46" s="45"/>
      <c r="AU46" s="45"/>
      <c r="AV46" s="45"/>
      <c r="AW46" s="45"/>
      <c r="AZ46" s="45"/>
      <c r="BA46" s="45"/>
      <c r="BB46" s="45"/>
      <c r="BE46" s="45"/>
      <c r="BF46" s="45"/>
      <c r="BG46" s="45"/>
      <c r="BJ46" s="45"/>
      <c r="BK46" s="45"/>
      <c r="BL46" s="45"/>
      <c r="BR46" s="45"/>
      <c r="BS46" s="45"/>
      <c r="BT46" s="45"/>
      <c r="BW46" s="45"/>
      <c r="BX46" s="45"/>
      <c r="BY46" s="45"/>
      <c r="CB46" s="45"/>
      <c r="CC46" s="45"/>
      <c r="CD46" s="45"/>
      <c r="CG46" s="45"/>
      <c r="CH46" s="45"/>
      <c r="CI46" s="45"/>
      <c r="CL46" s="45"/>
      <c r="CM46" s="45"/>
      <c r="CN46" s="45"/>
      <c r="CT46" s="45"/>
      <c r="CU46" s="45"/>
      <c r="CV46" s="45"/>
      <c r="CY46" s="45"/>
      <c r="CZ46" s="45"/>
      <c r="DA46" s="45"/>
      <c r="DD46" s="45"/>
      <c r="DE46" s="45"/>
      <c r="DF46" s="45"/>
      <c r="DI46" s="45"/>
      <c r="DJ46" s="45"/>
      <c r="DK46" s="45"/>
      <c r="DN46" s="45"/>
      <c r="DO46" s="45"/>
      <c r="DP46" s="45"/>
      <c r="DV46" s="45"/>
      <c r="DW46" s="45"/>
      <c r="DX46" s="45"/>
      <c r="EA46" s="45"/>
      <c r="EB46" s="45"/>
      <c r="EC46" s="45"/>
      <c r="EF46" s="45"/>
      <c r="EG46" s="45"/>
      <c r="EH46" s="45"/>
      <c r="EK46" s="45"/>
      <c r="EL46" s="45"/>
      <c r="EM46" s="45"/>
      <c r="EP46" s="45"/>
      <c r="EQ46" s="45"/>
      <c r="ER46" s="45"/>
      <c r="EX46" s="45"/>
      <c r="EY46" s="45"/>
      <c r="EZ46" s="45"/>
      <c r="FC46" s="45"/>
      <c r="FD46" s="45"/>
      <c r="FE46" s="45"/>
      <c r="FH46" s="45"/>
      <c r="FI46" s="45"/>
      <c r="FJ46" s="45"/>
      <c r="FM46" s="45"/>
      <c r="FN46" s="45"/>
      <c r="FO46" s="45"/>
      <c r="FR46" s="45"/>
      <c r="FS46" s="45"/>
      <c r="FT46" s="45"/>
    </row>
    <row r="47" spans="14:176">
      <c r="N47" s="45"/>
      <c r="O47" s="45"/>
      <c r="P47" s="45"/>
      <c r="S47" s="45"/>
      <c r="T47" s="45"/>
      <c r="U47" s="45"/>
      <c r="X47" s="45"/>
      <c r="Y47" s="45"/>
      <c r="Z47" s="45"/>
      <c r="AC47" s="45"/>
      <c r="AD47" s="45"/>
      <c r="AE47" s="45"/>
      <c r="AH47" s="45"/>
      <c r="AI47" s="45"/>
      <c r="AJ47" s="45"/>
      <c r="AP47" s="45"/>
      <c r="AQ47" s="45"/>
      <c r="AR47" s="45"/>
      <c r="AU47" s="45"/>
      <c r="AV47" s="45"/>
      <c r="AW47" s="45"/>
      <c r="AZ47" s="45"/>
      <c r="BA47" s="45"/>
      <c r="BB47" s="45"/>
      <c r="BE47" s="45"/>
      <c r="BF47" s="45"/>
      <c r="BG47" s="45"/>
      <c r="BJ47" s="45"/>
      <c r="BK47" s="45"/>
      <c r="BL47" s="45"/>
      <c r="BR47" s="45"/>
      <c r="BS47" s="45"/>
      <c r="BT47" s="45"/>
      <c r="BW47" s="45"/>
      <c r="BX47" s="45"/>
      <c r="BY47" s="45"/>
      <c r="CB47" s="45"/>
      <c r="CC47" s="45"/>
      <c r="CD47" s="45"/>
      <c r="CG47" s="45"/>
      <c r="CH47" s="45"/>
      <c r="CI47" s="45"/>
      <c r="CL47" s="45"/>
      <c r="CM47" s="45"/>
      <c r="CN47" s="45"/>
      <c r="CT47" s="45"/>
      <c r="CU47" s="45"/>
      <c r="CV47" s="45"/>
      <c r="CY47" s="45"/>
      <c r="CZ47" s="45"/>
      <c r="DA47" s="45"/>
      <c r="DD47" s="45"/>
      <c r="DE47" s="45"/>
      <c r="DF47" s="45"/>
      <c r="DI47" s="45"/>
      <c r="DJ47" s="45"/>
      <c r="DK47" s="45"/>
      <c r="DN47" s="45"/>
      <c r="DO47" s="45"/>
      <c r="DP47" s="45"/>
      <c r="DV47" s="45"/>
      <c r="DW47" s="45"/>
      <c r="DX47" s="45"/>
      <c r="EA47" s="45"/>
      <c r="EB47" s="45"/>
      <c r="EC47" s="45"/>
      <c r="EF47" s="45"/>
      <c r="EG47" s="45"/>
      <c r="EH47" s="45"/>
      <c r="EK47" s="45"/>
      <c r="EL47" s="45"/>
      <c r="EM47" s="45"/>
      <c r="EP47" s="45"/>
      <c r="EQ47" s="45"/>
      <c r="ER47" s="45"/>
      <c r="EX47" s="45"/>
      <c r="EY47" s="45"/>
      <c r="EZ47" s="45"/>
      <c r="FC47" s="45"/>
      <c r="FD47" s="45"/>
      <c r="FE47" s="45"/>
      <c r="FH47" s="45"/>
      <c r="FI47" s="45"/>
      <c r="FJ47" s="45"/>
      <c r="FM47" s="45"/>
      <c r="FN47" s="45"/>
      <c r="FO47" s="45"/>
      <c r="FR47" s="45"/>
      <c r="FS47" s="45"/>
      <c r="FT47" s="45"/>
    </row>
    <row r="48" spans="14:176">
      <c r="N48" s="45"/>
      <c r="O48" s="45"/>
      <c r="P48" s="45"/>
      <c r="S48" s="45"/>
      <c r="T48" s="45"/>
      <c r="U48" s="45"/>
      <c r="X48" s="45"/>
      <c r="Y48" s="45"/>
      <c r="Z48" s="45"/>
      <c r="AC48" s="45"/>
      <c r="AD48" s="45"/>
      <c r="AE48" s="45"/>
      <c r="AH48" s="45"/>
      <c r="AI48" s="45"/>
      <c r="AJ48" s="45"/>
      <c r="AP48" s="45"/>
      <c r="AQ48" s="45"/>
      <c r="AR48" s="45"/>
      <c r="AU48" s="45"/>
      <c r="AV48" s="45"/>
      <c r="AW48" s="45"/>
      <c r="AZ48" s="45"/>
      <c r="BA48" s="45"/>
      <c r="BB48" s="45"/>
      <c r="BE48" s="45"/>
      <c r="BF48" s="45"/>
      <c r="BG48" s="45"/>
      <c r="BJ48" s="45"/>
      <c r="BK48" s="45"/>
      <c r="BL48" s="45"/>
      <c r="BR48" s="45"/>
      <c r="BS48" s="45"/>
      <c r="BT48" s="45"/>
      <c r="BW48" s="45"/>
      <c r="BX48" s="45"/>
      <c r="BY48" s="45"/>
      <c r="CB48" s="45"/>
      <c r="CC48" s="45"/>
      <c r="CD48" s="45"/>
      <c r="CG48" s="45"/>
      <c r="CH48" s="45"/>
      <c r="CI48" s="45"/>
      <c r="CL48" s="45"/>
      <c r="CM48" s="45"/>
      <c r="CN48" s="45"/>
      <c r="CT48" s="45"/>
      <c r="CU48" s="45"/>
      <c r="CV48" s="45"/>
      <c r="CY48" s="45"/>
      <c r="CZ48" s="45"/>
      <c r="DA48" s="45"/>
      <c r="DD48" s="45"/>
      <c r="DE48" s="45"/>
      <c r="DF48" s="45"/>
      <c r="DI48" s="45"/>
      <c r="DJ48" s="45"/>
      <c r="DK48" s="45"/>
      <c r="DN48" s="45"/>
      <c r="DO48" s="45"/>
      <c r="DP48" s="45"/>
      <c r="DV48" s="45"/>
      <c r="DW48" s="45"/>
      <c r="DX48" s="45"/>
      <c r="EA48" s="45"/>
      <c r="EB48" s="45"/>
      <c r="EC48" s="45"/>
      <c r="EF48" s="45"/>
      <c r="EG48" s="45"/>
      <c r="EH48" s="45"/>
      <c r="EK48" s="45"/>
      <c r="EL48" s="45"/>
      <c r="EM48" s="45"/>
      <c r="EP48" s="45"/>
      <c r="EQ48" s="45"/>
      <c r="ER48" s="45"/>
      <c r="EX48" s="45"/>
      <c r="EY48" s="45"/>
      <c r="EZ48" s="45"/>
      <c r="FC48" s="45"/>
      <c r="FD48" s="45"/>
      <c r="FE48" s="45"/>
      <c r="FH48" s="45"/>
      <c r="FI48" s="45"/>
      <c r="FJ48" s="45"/>
      <c r="FM48" s="45"/>
      <c r="FN48" s="45"/>
      <c r="FO48" s="45"/>
      <c r="FR48" s="45"/>
      <c r="FS48" s="45"/>
      <c r="FT48" s="45"/>
    </row>
    <row r="49" spans="14:176">
      <c r="N49" s="45"/>
      <c r="O49" s="45"/>
      <c r="P49" s="45"/>
      <c r="S49" s="45"/>
      <c r="T49" s="45"/>
      <c r="U49" s="45"/>
      <c r="X49" s="45"/>
      <c r="Y49" s="45"/>
      <c r="Z49" s="45"/>
      <c r="AC49" s="45"/>
      <c r="AD49" s="45"/>
      <c r="AE49" s="45"/>
      <c r="AH49" s="45"/>
      <c r="AI49" s="45"/>
      <c r="AJ49" s="45"/>
      <c r="AP49" s="45"/>
      <c r="AQ49" s="45"/>
      <c r="AR49" s="45"/>
      <c r="AU49" s="45"/>
      <c r="AV49" s="45"/>
      <c r="AW49" s="45"/>
      <c r="AZ49" s="45"/>
      <c r="BA49" s="45"/>
      <c r="BB49" s="45"/>
      <c r="BE49" s="45"/>
      <c r="BF49" s="45"/>
      <c r="BG49" s="45"/>
      <c r="BJ49" s="45"/>
      <c r="BK49" s="45"/>
      <c r="BL49" s="45"/>
      <c r="BR49" s="45"/>
      <c r="BS49" s="45"/>
      <c r="BT49" s="45"/>
      <c r="BW49" s="45"/>
      <c r="BX49" s="45"/>
      <c r="BY49" s="45"/>
      <c r="CB49" s="45"/>
      <c r="CC49" s="45"/>
      <c r="CD49" s="45"/>
      <c r="CG49" s="45"/>
      <c r="CH49" s="45"/>
      <c r="CI49" s="45"/>
      <c r="CL49" s="45"/>
      <c r="CM49" s="45"/>
      <c r="CN49" s="45"/>
      <c r="CT49" s="45"/>
      <c r="CU49" s="45"/>
      <c r="CV49" s="45"/>
      <c r="CY49" s="45"/>
      <c r="CZ49" s="45"/>
      <c r="DA49" s="45"/>
      <c r="DD49" s="45"/>
      <c r="DE49" s="45"/>
      <c r="DF49" s="45"/>
      <c r="DI49" s="45"/>
      <c r="DJ49" s="45"/>
      <c r="DK49" s="45"/>
      <c r="DN49" s="45"/>
      <c r="DO49" s="45"/>
      <c r="DP49" s="45"/>
      <c r="DV49" s="45"/>
      <c r="DW49" s="45"/>
      <c r="DX49" s="45"/>
      <c r="EA49" s="45"/>
      <c r="EB49" s="45"/>
      <c r="EC49" s="45"/>
      <c r="EF49" s="45"/>
      <c r="EG49" s="45"/>
      <c r="EH49" s="45"/>
      <c r="EK49" s="45"/>
      <c r="EL49" s="45"/>
      <c r="EM49" s="45"/>
      <c r="EP49" s="45"/>
      <c r="EQ49" s="45"/>
      <c r="ER49" s="45"/>
      <c r="EX49" s="45"/>
      <c r="EY49" s="45"/>
      <c r="EZ49" s="45"/>
      <c r="FC49" s="45"/>
      <c r="FD49" s="45"/>
      <c r="FE49" s="45"/>
      <c r="FH49" s="45"/>
      <c r="FI49" s="45"/>
      <c r="FJ49" s="45"/>
      <c r="FM49" s="45"/>
      <c r="FN49" s="45"/>
      <c r="FO49" s="45"/>
      <c r="FR49" s="45"/>
      <c r="FS49" s="45"/>
      <c r="FT49" s="45"/>
    </row>
    <row r="50" spans="14:176">
      <c r="N50" s="45"/>
      <c r="O50" s="45"/>
      <c r="P50" s="45"/>
      <c r="S50" s="45"/>
      <c r="T50" s="45"/>
      <c r="U50" s="45"/>
      <c r="X50" s="45"/>
      <c r="Y50" s="45"/>
      <c r="Z50" s="45"/>
      <c r="AC50" s="45"/>
      <c r="AD50" s="45"/>
      <c r="AE50" s="45"/>
      <c r="AH50" s="45"/>
      <c r="AI50" s="45"/>
      <c r="AJ50" s="45"/>
      <c r="AP50" s="45"/>
      <c r="AQ50" s="45"/>
      <c r="AR50" s="45"/>
      <c r="AU50" s="45"/>
      <c r="AV50" s="45"/>
      <c r="AW50" s="45"/>
      <c r="AZ50" s="45"/>
      <c r="BA50" s="45"/>
      <c r="BB50" s="45"/>
      <c r="BE50" s="45"/>
      <c r="BF50" s="45"/>
      <c r="BG50" s="45"/>
      <c r="BJ50" s="45"/>
      <c r="BK50" s="45"/>
      <c r="BL50" s="45"/>
      <c r="BR50" s="45"/>
      <c r="BS50" s="45"/>
      <c r="BT50" s="45"/>
      <c r="BW50" s="45"/>
      <c r="BX50" s="45"/>
      <c r="BY50" s="45"/>
      <c r="CB50" s="45"/>
      <c r="CC50" s="45"/>
      <c r="CD50" s="45"/>
      <c r="CG50" s="45"/>
      <c r="CH50" s="45"/>
      <c r="CI50" s="45"/>
      <c r="CL50" s="45"/>
      <c r="CM50" s="45"/>
      <c r="CN50" s="45"/>
      <c r="CT50" s="45"/>
      <c r="CU50" s="45"/>
      <c r="CV50" s="45"/>
      <c r="CY50" s="45"/>
      <c r="CZ50" s="45"/>
      <c r="DA50" s="45"/>
      <c r="DD50" s="45"/>
      <c r="DE50" s="45"/>
      <c r="DF50" s="45"/>
      <c r="DI50" s="45"/>
      <c r="DJ50" s="45"/>
      <c r="DK50" s="45"/>
      <c r="DN50" s="45"/>
      <c r="DO50" s="45"/>
      <c r="DP50" s="45"/>
      <c r="DV50" s="45"/>
      <c r="DW50" s="45"/>
      <c r="DX50" s="45"/>
      <c r="EA50" s="45"/>
      <c r="EB50" s="45"/>
      <c r="EC50" s="45"/>
      <c r="EF50" s="45"/>
      <c r="EG50" s="45"/>
      <c r="EH50" s="45"/>
      <c r="EK50" s="45"/>
      <c r="EL50" s="45"/>
      <c r="EM50" s="45"/>
      <c r="EP50" s="45"/>
      <c r="EQ50" s="45"/>
      <c r="ER50" s="45"/>
      <c r="EX50" s="45"/>
      <c r="EY50" s="45"/>
      <c r="EZ50" s="45"/>
      <c r="FC50" s="45"/>
      <c r="FD50" s="45"/>
      <c r="FE50" s="45"/>
      <c r="FH50" s="45"/>
      <c r="FI50" s="45"/>
      <c r="FJ50" s="45"/>
      <c r="FM50" s="45"/>
      <c r="FN50" s="45"/>
      <c r="FO50" s="45"/>
      <c r="FR50" s="45"/>
      <c r="FS50" s="45"/>
      <c r="FT50" s="45"/>
    </row>
    <row r="51" spans="14:176">
      <c r="N51" s="45"/>
      <c r="O51" s="45"/>
      <c r="P51" s="45"/>
      <c r="S51" s="45"/>
      <c r="T51" s="45"/>
      <c r="U51" s="45"/>
      <c r="X51" s="45"/>
      <c r="Y51" s="45"/>
      <c r="Z51" s="45"/>
      <c r="AC51" s="45"/>
      <c r="AD51" s="45"/>
      <c r="AE51" s="45"/>
      <c r="AH51" s="45"/>
      <c r="AI51" s="45"/>
      <c r="AJ51" s="45"/>
      <c r="AP51" s="45"/>
      <c r="AQ51" s="45"/>
      <c r="AR51" s="45"/>
      <c r="AU51" s="45"/>
      <c r="AV51" s="45"/>
      <c r="AW51" s="45"/>
      <c r="AZ51" s="45"/>
      <c r="BA51" s="45"/>
      <c r="BB51" s="45"/>
      <c r="BE51" s="45"/>
      <c r="BF51" s="45"/>
      <c r="BG51" s="45"/>
      <c r="BJ51" s="45"/>
      <c r="BK51" s="45"/>
      <c r="BL51" s="45"/>
      <c r="BR51" s="45"/>
      <c r="BS51" s="45"/>
      <c r="BT51" s="45"/>
      <c r="BW51" s="45"/>
      <c r="BX51" s="45"/>
      <c r="BY51" s="45"/>
      <c r="CB51" s="45"/>
      <c r="CC51" s="45"/>
      <c r="CD51" s="45"/>
      <c r="CG51" s="45"/>
      <c r="CH51" s="45"/>
      <c r="CI51" s="45"/>
      <c r="CL51" s="45"/>
      <c r="CM51" s="45"/>
      <c r="CN51" s="45"/>
      <c r="CT51" s="45"/>
      <c r="CU51" s="45"/>
      <c r="CV51" s="45"/>
      <c r="CY51" s="45"/>
      <c r="CZ51" s="45"/>
      <c r="DA51" s="45"/>
      <c r="DD51" s="45"/>
      <c r="DE51" s="45"/>
      <c r="DF51" s="45"/>
      <c r="DI51" s="45"/>
      <c r="DJ51" s="45"/>
      <c r="DK51" s="45"/>
      <c r="DN51" s="45"/>
      <c r="DO51" s="45"/>
      <c r="DP51" s="45"/>
      <c r="DV51" s="45"/>
      <c r="DW51" s="45"/>
      <c r="DX51" s="45"/>
      <c r="EA51" s="45"/>
      <c r="EB51" s="45"/>
      <c r="EC51" s="45"/>
      <c r="EF51" s="45"/>
      <c r="EG51" s="45"/>
      <c r="EH51" s="45"/>
      <c r="EK51" s="45"/>
      <c r="EL51" s="45"/>
      <c r="EM51" s="45"/>
      <c r="EP51" s="45"/>
      <c r="EQ51" s="45"/>
      <c r="ER51" s="45"/>
      <c r="EX51" s="45"/>
      <c r="EY51" s="45"/>
      <c r="EZ51" s="45"/>
      <c r="FC51" s="45"/>
      <c r="FD51" s="45"/>
      <c r="FE51" s="45"/>
      <c r="FH51" s="45"/>
      <c r="FI51" s="45"/>
      <c r="FJ51" s="45"/>
      <c r="FM51" s="45"/>
      <c r="FN51" s="45"/>
      <c r="FO51" s="45"/>
      <c r="FR51" s="45"/>
      <c r="FS51" s="45"/>
      <c r="FT51" s="45"/>
    </row>
    <row r="52" spans="14:176">
      <c r="N52" s="45"/>
      <c r="O52" s="45"/>
      <c r="P52" s="45"/>
      <c r="S52" s="45"/>
      <c r="T52" s="45"/>
      <c r="U52" s="45"/>
      <c r="X52" s="45"/>
      <c r="Y52" s="45"/>
      <c r="Z52" s="45"/>
      <c r="AC52" s="45"/>
      <c r="AD52" s="45"/>
      <c r="AE52" s="45"/>
      <c r="AH52" s="45"/>
      <c r="AI52" s="45"/>
      <c r="AJ52" s="45"/>
      <c r="AP52" s="45"/>
      <c r="AQ52" s="45"/>
      <c r="AR52" s="45"/>
      <c r="AU52" s="45"/>
      <c r="AV52" s="45"/>
      <c r="AW52" s="45"/>
      <c r="AZ52" s="45"/>
      <c r="BA52" s="45"/>
      <c r="BB52" s="45"/>
      <c r="BE52" s="45"/>
      <c r="BF52" s="45"/>
      <c r="BG52" s="45"/>
      <c r="BJ52" s="45"/>
      <c r="BK52" s="45"/>
      <c r="BL52" s="45"/>
      <c r="BR52" s="45"/>
      <c r="BS52" s="45"/>
      <c r="BT52" s="45"/>
      <c r="BW52" s="45"/>
      <c r="BX52" s="45"/>
      <c r="BY52" s="45"/>
      <c r="CB52" s="45"/>
      <c r="CC52" s="45"/>
      <c r="CD52" s="45"/>
      <c r="CG52" s="45"/>
      <c r="CH52" s="45"/>
      <c r="CI52" s="45"/>
      <c r="CL52" s="45"/>
      <c r="CM52" s="45"/>
      <c r="CN52" s="45"/>
      <c r="CT52" s="45"/>
      <c r="CU52" s="45"/>
      <c r="CV52" s="45"/>
      <c r="CY52" s="45"/>
      <c r="CZ52" s="45"/>
      <c r="DA52" s="45"/>
      <c r="DD52" s="45"/>
      <c r="DE52" s="45"/>
      <c r="DF52" s="45"/>
      <c r="DI52" s="45"/>
      <c r="DJ52" s="45"/>
      <c r="DK52" s="45"/>
      <c r="DN52" s="45"/>
      <c r="DO52" s="45"/>
      <c r="DP52" s="45"/>
      <c r="DV52" s="45"/>
      <c r="DW52" s="45"/>
      <c r="DX52" s="45"/>
      <c r="EA52" s="45"/>
      <c r="EB52" s="45"/>
      <c r="EC52" s="45"/>
      <c r="EF52" s="45"/>
      <c r="EG52" s="45"/>
      <c r="EH52" s="45"/>
      <c r="EK52" s="45"/>
      <c r="EL52" s="45"/>
      <c r="EM52" s="45"/>
      <c r="EP52" s="45"/>
      <c r="EQ52" s="45"/>
      <c r="ER52" s="45"/>
      <c r="EX52" s="45"/>
      <c r="EY52" s="45"/>
      <c r="EZ52" s="45"/>
      <c r="FC52" s="45"/>
      <c r="FD52" s="45"/>
      <c r="FE52" s="45"/>
      <c r="FH52" s="45"/>
      <c r="FI52" s="45"/>
      <c r="FJ52" s="45"/>
      <c r="FM52" s="45"/>
      <c r="FN52" s="45"/>
      <c r="FO52" s="45"/>
      <c r="FR52" s="45"/>
      <c r="FS52" s="45"/>
      <c r="FT52" s="45"/>
    </row>
    <row r="53" spans="14:176">
      <c r="N53" s="45"/>
      <c r="O53" s="45"/>
      <c r="P53" s="45"/>
      <c r="S53" s="45"/>
      <c r="T53" s="45"/>
      <c r="U53" s="45"/>
      <c r="X53" s="45"/>
      <c r="Y53" s="45"/>
      <c r="Z53" s="45"/>
      <c r="AC53" s="45"/>
      <c r="AD53" s="45"/>
      <c r="AE53" s="45"/>
      <c r="AH53" s="45"/>
      <c r="AI53" s="45"/>
      <c r="AJ53" s="45"/>
      <c r="AP53" s="45"/>
      <c r="AQ53" s="45"/>
      <c r="AR53" s="45"/>
      <c r="AU53" s="45"/>
      <c r="AV53" s="45"/>
      <c r="AW53" s="45"/>
      <c r="AZ53" s="45"/>
      <c r="BA53" s="45"/>
      <c r="BB53" s="45"/>
      <c r="BE53" s="45"/>
      <c r="BF53" s="45"/>
      <c r="BG53" s="45"/>
      <c r="BJ53" s="45"/>
      <c r="BK53" s="45"/>
      <c r="BL53" s="45"/>
      <c r="BR53" s="45"/>
      <c r="BS53" s="45"/>
      <c r="BT53" s="45"/>
      <c r="BW53" s="45"/>
      <c r="BX53" s="45"/>
      <c r="BY53" s="45"/>
      <c r="CB53" s="45"/>
      <c r="CC53" s="45"/>
      <c r="CD53" s="45"/>
      <c r="CG53" s="45"/>
      <c r="CH53" s="45"/>
      <c r="CI53" s="45"/>
      <c r="CL53" s="45"/>
      <c r="CM53" s="45"/>
      <c r="CN53" s="45"/>
      <c r="CT53" s="45"/>
      <c r="CU53" s="45"/>
      <c r="CV53" s="45"/>
      <c r="CY53" s="45"/>
      <c r="CZ53" s="45"/>
      <c r="DA53" s="45"/>
      <c r="DD53" s="45"/>
      <c r="DE53" s="45"/>
      <c r="DF53" s="45"/>
      <c r="DI53" s="45"/>
      <c r="DJ53" s="45"/>
      <c r="DK53" s="45"/>
      <c r="DN53" s="45"/>
      <c r="DO53" s="45"/>
      <c r="DP53" s="45"/>
      <c r="DV53" s="45"/>
      <c r="DW53" s="45"/>
      <c r="DX53" s="45"/>
      <c r="EA53" s="45"/>
      <c r="EB53" s="45"/>
      <c r="EC53" s="45"/>
      <c r="EF53" s="45"/>
      <c r="EG53" s="45"/>
      <c r="EH53" s="45"/>
      <c r="EK53" s="45"/>
      <c r="EL53" s="45"/>
      <c r="EM53" s="45"/>
      <c r="EP53" s="45"/>
      <c r="EQ53" s="45"/>
      <c r="ER53" s="45"/>
      <c r="EX53" s="45"/>
      <c r="EY53" s="45"/>
      <c r="EZ53" s="45"/>
      <c r="FC53" s="45"/>
      <c r="FD53" s="45"/>
      <c r="FE53" s="45"/>
      <c r="FH53" s="45"/>
      <c r="FI53" s="45"/>
      <c r="FJ53" s="45"/>
      <c r="FM53" s="45"/>
      <c r="FN53" s="45"/>
      <c r="FO53" s="45"/>
      <c r="FR53" s="45"/>
      <c r="FS53" s="45"/>
      <c r="FT53" s="45"/>
    </row>
    <row r="54" spans="14:176">
      <c r="N54" s="45"/>
      <c r="O54" s="45"/>
      <c r="P54" s="45"/>
      <c r="S54" s="45"/>
      <c r="T54" s="45"/>
      <c r="U54" s="45"/>
      <c r="X54" s="45"/>
      <c r="Y54" s="45"/>
      <c r="Z54" s="45"/>
      <c r="AC54" s="45"/>
      <c r="AD54" s="45"/>
      <c r="AE54" s="45"/>
      <c r="AH54" s="45"/>
      <c r="AI54" s="45"/>
      <c r="AJ54" s="45"/>
      <c r="AP54" s="45"/>
      <c r="AQ54" s="45"/>
      <c r="AR54" s="45"/>
      <c r="AU54" s="45"/>
      <c r="AV54" s="45"/>
      <c r="AW54" s="45"/>
      <c r="AZ54" s="45"/>
      <c r="BA54" s="45"/>
      <c r="BB54" s="45"/>
      <c r="BE54" s="45"/>
      <c r="BF54" s="45"/>
      <c r="BG54" s="45"/>
      <c r="BJ54" s="45"/>
      <c r="BK54" s="45"/>
      <c r="BL54" s="45"/>
      <c r="BR54" s="45"/>
      <c r="BS54" s="45"/>
      <c r="BT54" s="45"/>
      <c r="BW54" s="45"/>
      <c r="BX54" s="45"/>
      <c r="BY54" s="45"/>
      <c r="CB54" s="45"/>
      <c r="CC54" s="45"/>
      <c r="CD54" s="45"/>
      <c r="CG54" s="45"/>
      <c r="CH54" s="45"/>
      <c r="CI54" s="45"/>
      <c r="CL54" s="45"/>
      <c r="CM54" s="45"/>
      <c r="CN54" s="45"/>
      <c r="CT54" s="45"/>
      <c r="CU54" s="45"/>
      <c r="CV54" s="45"/>
      <c r="CY54" s="45"/>
      <c r="CZ54" s="45"/>
      <c r="DA54" s="45"/>
      <c r="DD54" s="45"/>
      <c r="DE54" s="45"/>
      <c r="DF54" s="45"/>
      <c r="DI54" s="45"/>
      <c r="DJ54" s="45"/>
      <c r="DK54" s="45"/>
      <c r="DN54" s="45"/>
      <c r="DO54" s="45"/>
      <c r="DP54" s="45"/>
      <c r="DV54" s="45"/>
      <c r="DW54" s="45"/>
      <c r="DX54" s="45"/>
      <c r="EA54" s="45"/>
      <c r="EB54" s="45"/>
      <c r="EC54" s="45"/>
      <c r="EF54" s="45"/>
      <c r="EG54" s="45"/>
      <c r="EH54" s="45"/>
      <c r="EK54" s="45"/>
      <c r="EL54" s="45"/>
      <c r="EM54" s="45"/>
      <c r="EP54" s="45"/>
      <c r="EQ54" s="45"/>
      <c r="ER54" s="45"/>
      <c r="EX54" s="45"/>
      <c r="EY54" s="45"/>
      <c r="EZ54" s="45"/>
      <c r="FC54" s="45"/>
      <c r="FD54" s="45"/>
      <c r="FE54" s="45"/>
      <c r="FH54" s="45"/>
      <c r="FI54" s="45"/>
      <c r="FJ54" s="45"/>
      <c r="FM54" s="45"/>
      <c r="FN54" s="45"/>
      <c r="FO54" s="45"/>
      <c r="FR54" s="45"/>
      <c r="FS54" s="45"/>
      <c r="FT54" s="45"/>
    </row>
    <row r="55" spans="14:176">
      <c r="N55" s="45"/>
      <c r="O55" s="45"/>
      <c r="P55" s="45"/>
      <c r="S55" s="45"/>
      <c r="T55" s="45"/>
      <c r="U55" s="45"/>
      <c r="X55" s="45"/>
      <c r="Y55" s="45"/>
      <c r="Z55" s="45"/>
      <c r="AC55" s="45"/>
      <c r="AD55" s="45"/>
      <c r="AE55" s="45"/>
      <c r="AH55" s="45"/>
      <c r="AI55" s="45"/>
      <c r="AJ55" s="45"/>
      <c r="AP55" s="45"/>
      <c r="AQ55" s="45"/>
      <c r="AR55" s="45"/>
      <c r="AU55" s="45"/>
      <c r="AV55" s="45"/>
      <c r="AW55" s="45"/>
      <c r="AZ55" s="45"/>
      <c r="BA55" s="45"/>
      <c r="BB55" s="45"/>
      <c r="BE55" s="45"/>
      <c r="BF55" s="45"/>
      <c r="BG55" s="45"/>
      <c r="BJ55" s="45"/>
      <c r="BK55" s="45"/>
      <c r="BL55" s="45"/>
      <c r="BR55" s="45"/>
      <c r="BS55" s="45"/>
      <c r="BT55" s="45"/>
      <c r="BW55" s="45"/>
      <c r="BX55" s="45"/>
      <c r="BY55" s="45"/>
      <c r="CB55" s="45"/>
      <c r="CC55" s="45"/>
      <c r="CD55" s="45"/>
      <c r="CG55" s="45"/>
      <c r="CH55" s="45"/>
      <c r="CI55" s="45"/>
      <c r="CL55" s="45"/>
      <c r="CM55" s="45"/>
      <c r="CN55" s="45"/>
      <c r="CT55" s="45"/>
      <c r="CU55" s="45"/>
      <c r="CV55" s="45"/>
      <c r="CY55" s="45"/>
      <c r="CZ55" s="45"/>
      <c r="DA55" s="45"/>
      <c r="DD55" s="45"/>
      <c r="DE55" s="45"/>
      <c r="DF55" s="45"/>
      <c r="DI55" s="45"/>
      <c r="DJ55" s="45"/>
      <c r="DK55" s="45"/>
      <c r="DN55" s="45"/>
      <c r="DO55" s="45"/>
      <c r="DP55" s="45"/>
      <c r="DV55" s="45"/>
      <c r="DW55" s="45"/>
      <c r="DX55" s="45"/>
      <c r="EA55" s="45"/>
      <c r="EB55" s="45"/>
      <c r="EC55" s="45"/>
      <c r="EF55" s="45"/>
      <c r="EG55" s="45"/>
      <c r="EH55" s="45"/>
      <c r="EK55" s="45"/>
      <c r="EL55" s="45"/>
      <c r="EM55" s="45"/>
      <c r="EP55" s="45"/>
      <c r="EQ55" s="45"/>
      <c r="ER55" s="45"/>
      <c r="EX55" s="45"/>
      <c r="EY55" s="45"/>
      <c r="EZ55" s="45"/>
      <c r="FC55" s="45"/>
      <c r="FD55" s="45"/>
      <c r="FE55" s="45"/>
      <c r="FH55" s="45"/>
      <c r="FI55" s="45"/>
      <c r="FJ55" s="45"/>
      <c r="FM55" s="45"/>
      <c r="FN55" s="45"/>
      <c r="FO55" s="45"/>
      <c r="FR55" s="45"/>
      <c r="FS55" s="45"/>
      <c r="FT55" s="45"/>
    </row>
    <row r="56" spans="14:176">
      <c r="N56" s="45"/>
      <c r="O56" s="45"/>
      <c r="P56" s="45"/>
      <c r="S56" s="45"/>
      <c r="T56" s="45"/>
      <c r="U56" s="45"/>
      <c r="X56" s="45"/>
      <c r="Y56" s="45"/>
      <c r="Z56" s="45"/>
      <c r="AC56" s="45"/>
      <c r="AD56" s="45"/>
      <c r="AE56" s="45"/>
      <c r="AH56" s="45"/>
      <c r="AI56" s="45"/>
      <c r="AJ56" s="45"/>
      <c r="AP56" s="45"/>
      <c r="AQ56" s="45"/>
      <c r="AR56" s="45"/>
      <c r="AU56" s="45"/>
      <c r="AV56" s="45"/>
      <c r="AW56" s="45"/>
      <c r="AZ56" s="45"/>
      <c r="BA56" s="45"/>
      <c r="BB56" s="45"/>
      <c r="BE56" s="45"/>
      <c r="BF56" s="45"/>
      <c r="BG56" s="45"/>
      <c r="BJ56" s="45"/>
      <c r="BK56" s="45"/>
      <c r="BL56" s="45"/>
      <c r="BR56" s="45"/>
      <c r="BS56" s="45"/>
      <c r="BT56" s="45"/>
      <c r="BW56" s="45"/>
      <c r="BX56" s="45"/>
      <c r="BY56" s="45"/>
      <c r="CB56" s="45"/>
      <c r="CC56" s="45"/>
      <c r="CD56" s="45"/>
      <c r="CG56" s="45"/>
      <c r="CH56" s="45"/>
      <c r="CI56" s="45"/>
      <c r="CL56" s="45"/>
      <c r="CM56" s="45"/>
      <c r="CN56" s="45"/>
      <c r="CT56" s="45"/>
      <c r="CU56" s="45"/>
      <c r="CV56" s="45"/>
      <c r="CY56" s="45"/>
      <c r="CZ56" s="45"/>
      <c r="DA56" s="45"/>
      <c r="DD56" s="45"/>
      <c r="DE56" s="45"/>
      <c r="DF56" s="45"/>
      <c r="DI56" s="45"/>
      <c r="DJ56" s="45"/>
      <c r="DK56" s="45"/>
      <c r="DN56" s="45"/>
      <c r="DO56" s="45"/>
      <c r="DP56" s="45"/>
      <c r="DV56" s="45"/>
      <c r="DW56" s="45"/>
      <c r="DX56" s="45"/>
      <c r="EA56" s="45"/>
      <c r="EB56" s="45"/>
      <c r="EC56" s="45"/>
      <c r="EF56" s="45"/>
      <c r="EG56" s="45"/>
      <c r="EH56" s="45"/>
      <c r="EK56" s="45"/>
      <c r="EL56" s="45"/>
      <c r="EM56" s="45"/>
      <c r="EP56" s="45"/>
      <c r="EQ56" s="45"/>
      <c r="ER56" s="45"/>
      <c r="EX56" s="45"/>
      <c r="EY56" s="45"/>
      <c r="EZ56" s="45"/>
      <c r="FC56" s="45"/>
      <c r="FD56" s="45"/>
      <c r="FE56" s="45"/>
      <c r="FH56" s="45"/>
      <c r="FI56" s="45"/>
      <c r="FJ56" s="45"/>
      <c r="FM56" s="45"/>
      <c r="FN56" s="45"/>
      <c r="FO56" s="45"/>
      <c r="FR56" s="45"/>
      <c r="FS56" s="45"/>
      <c r="FT56" s="45"/>
    </row>
    <row r="57" spans="14:176">
      <c r="N57" s="45"/>
      <c r="O57" s="45"/>
      <c r="P57" s="45"/>
      <c r="S57" s="45"/>
      <c r="T57" s="45"/>
      <c r="U57" s="45"/>
      <c r="X57" s="45"/>
      <c r="Y57" s="45"/>
      <c r="Z57" s="45"/>
      <c r="AC57" s="45"/>
      <c r="AD57" s="45"/>
      <c r="AE57" s="45"/>
      <c r="AH57" s="45"/>
      <c r="AI57" s="45"/>
      <c r="AJ57" s="45"/>
      <c r="AP57" s="45"/>
      <c r="AQ57" s="45"/>
      <c r="AR57" s="45"/>
      <c r="AU57" s="45"/>
      <c r="AV57" s="45"/>
      <c r="AW57" s="45"/>
      <c r="AZ57" s="45"/>
      <c r="BA57" s="45"/>
      <c r="BB57" s="45"/>
      <c r="BE57" s="45"/>
      <c r="BF57" s="45"/>
      <c r="BG57" s="45"/>
      <c r="BJ57" s="45"/>
      <c r="BK57" s="45"/>
      <c r="BL57" s="45"/>
      <c r="BR57" s="45"/>
      <c r="BS57" s="45"/>
      <c r="BT57" s="45"/>
      <c r="BW57" s="45"/>
      <c r="BX57" s="45"/>
      <c r="BY57" s="45"/>
      <c r="CB57" s="45"/>
      <c r="CC57" s="45"/>
      <c r="CD57" s="45"/>
      <c r="CG57" s="45"/>
      <c r="CH57" s="45"/>
      <c r="CI57" s="45"/>
      <c r="CL57" s="45"/>
      <c r="CM57" s="45"/>
      <c r="CN57" s="45"/>
      <c r="CT57" s="45"/>
      <c r="CU57" s="45"/>
      <c r="CV57" s="45"/>
      <c r="CY57" s="45"/>
      <c r="CZ57" s="45"/>
      <c r="DA57" s="45"/>
      <c r="DD57" s="45"/>
      <c r="DE57" s="45"/>
      <c r="DF57" s="45"/>
      <c r="DI57" s="45"/>
      <c r="DJ57" s="45"/>
      <c r="DK57" s="45"/>
      <c r="DN57" s="45"/>
      <c r="DO57" s="45"/>
      <c r="DP57" s="45"/>
      <c r="DV57" s="45"/>
      <c r="DW57" s="45"/>
      <c r="DX57" s="45"/>
      <c r="EA57" s="45"/>
      <c r="EB57" s="45"/>
      <c r="EC57" s="45"/>
      <c r="EF57" s="45"/>
      <c r="EG57" s="45"/>
      <c r="EH57" s="45"/>
      <c r="EK57" s="45"/>
      <c r="EL57" s="45"/>
      <c r="EM57" s="45"/>
      <c r="EP57" s="45"/>
      <c r="EQ57" s="45"/>
      <c r="ER57" s="45"/>
      <c r="EX57" s="45"/>
      <c r="EY57" s="45"/>
      <c r="EZ57" s="45"/>
      <c r="FC57" s="45"/>
      <c r="FD57" s="45"/>
      <c r="FE57" s="45"/>
      <c r="FH57" s="45"/>
      <c r="FI57" s="45"/>
      <c r="FJ57" s="45"/>
      <c r="FM57" s="45"/>
      <c r="FN57" s="45"/>
      <c r="FO57" s="45"/>
      <c r="FR57" s="45"/>
      <c r="FS57" s="45"/>
      <c r="FT57" s="45"/>
    </row>
    <row r="58" spans="14:176">
      <c r="N58" s="45"/>
      <c r="O58" s="45"/>
      <c r="P58" s="45"/>
      <c r="S58" s="45"/>
      <c r="T58" s="45"/>
      <c r="U58" s="45"/>
      <c r="X58" s="45"/>
      <c r="Y58" s="45"/>
      <c r="Z58" s="45"/>
      <c r="AC58" s="45"/>
      <c r="AD58" s="45"/>
      <c r="AE58" s="45"/>
      <c r="AH58" s="45"/>
      <c r="AI58" s="45"/>
      <c r="AJ58" s="45"/>
      <c r="AP58" s="45"/>
      <c r="AQ58" s="45"/>
      <c r="AR58" s="45"/>
      <c r="AU58" s="45"/>
      <c r="AV58" s="45"/>
      <c r="AW58" s="45"/>
      <c r="AZ58" s="45"/>
      <c r="BA58" s="45"/>
      <c r="BB58" s="45"/>
      <c r="BE58" s="45"/>
      <c r="BF58" s="45"/>
      <c r="BG58" s="45"/>
      <c r="BJ58" s="45"/>
      <c r="BK58" s="45"/>
      <c r="BL58" s="45"/>
      <c r="BR58" s="45"/>
      <c r="BS58" s="45"/>
      <c r="BT58" s="45"/>
      <c r="BW58" s="45"/>
      <c r="BX58" s="45"/>
      <c r="BY58" s="45"/>
      <c r="CB58" s="45"/>
      <c r="CC58" s="45"/>
      <c r="CD58" s="45"/>
      <c r="CG58" s="45"/>
      <c r="CH58" s="45"/>
      <c r="CI58" s="45"/>
      <c r="CL58" s="45"/>
      <c r="CM58" s="45"/>
      <c r="CN58" s="45"/>
      <c r="CT58" s="45"/>
      <c r="CU58" s="45"/>
      <c r="CV58" s="45"/>
      <c r="CY58" s="45"/>
      <c r="CZ58" s="45"/>
      <c r="DA58" s="45"/>
      <c r="DD58" s="45"/>
      <c r="DE58" s="45"/>
      <c r="DF58" s="45"/>
      <c r="DI58" s="45"/>
      <c r="DJ58" s="45"/>
      <c r="DK58" s="45"/>
      <c r="DN58" s="45"/>
      <c r="DO58" s="45"/>
      <c r="DP58" s="45"/>
      <c r="DV58" s="45"/>
      <c r="DW58" s="45"/>
      <c r="DX58" s="45"/>
      <c r="EA58" s="45"/>
      <c r="EB58" s="45"/>
      <c r="EC58" s="45"/>
      <c r="EF58" s="45"/>
      <c r="EG58" s="45"/>
      <c r="EH58" s="45"/>
      <c r="EK58" s="45"/>
      <c r="EL58" s="45"/>
      <c r="EM58" s="45"/>
      <c r="EP58" s="45"/>
      <c r="EQ58" s="45"/>
      <c r="ER58" s="45"/>
      <c r="EX58" s="45"/>
      <c r="EY58" s="45"/>
      <c r="EZ58" s="45"/>
      <c r="FC58" s="45"/>
      <c r="FD58" s="45"/>
      <c r="FE58" s="45"/>
      <c r="FH58" s="45"/>
      <c r="FI58" s="45"/>
      <c r="FJ58" s="45"/>
      <c r="FM58" s="45"/>
      <c r="FN58" s="45"/>
      <c r="FO58" s="45"/>
      <c r="FR58" s="45"/>
      <c r="FS58" s="45"/>
      <c r="FT58" s="45"/>
    </row>
    <row r="59" spans="14:176">
      <c r="N59" s="45"/>
      <c r="O59" s="45"/>
      <c r="P59" s="45"/>
      <c r="S59" s="45"/>
      <c r="T59" s="45"/>
      <c r="U59" s="45"/>
      <c r="X59" s="45"/>
      <c r="Y59" s="45"/>
      <c r="Z59" s="45"/>
      <c r="AC59" s="45"/>
      <c r="AD59" s="45"/>
      <c r="AE59" s="45"/>
      <c r="AH59" s="45"/>
      <c r="AI59" s="45"/>
      <c r="AJ59" s="45"/>
      <c r="AP59" s="45"/>
      <c r="AQ59" s="45"/>
      <c r="AR59" s="45"/>
      <c r="AU59" s="45"/>
      <c r="AV59" s="45"/>
      <c r="AW59" s="45"/>
      <c r="AZ59" s="45"/>
      <c r="BA59" s="45"/>
      <c r="BB59" s="45"/>
      <c r="BE59" s="45"/>
      <c r="BF59" s="45"/>
      <c r="BG59" s="45"/>
      <c r="BJ59" s="45"/>
      <c r="BK59" s="45"/>
      <c r="BL59" s="45"/>
      <c r="BR59" s="45"/>
      <c r="BS59" s="45"/>
      <c r="BT59" s="45"/>
      <c r="BW59" s="45"/>
      <c r="BX59" s="45"/>
      <c r="BY59" s="45"/>
      <c r="CB59" s="45"/>
      <c r="CC59" s="45"/>
      <c r="CD59" s="45"/>
      <c r="CG59" s="45"/>
      <c r="CH59" s="45"/>
      <c r="CI59" s="45"/>
      <c r="CL59" s="45"/>
      <c r="CM59" s="45"/>
      <c r="CN59" s="45"/>
      <c r="CT59" s="45"/>
      <c r="CU59" s="45"/>
      <c r="CV59" s="45"/>
      <c r="CY59" s="45"/>
      <c r="CZ59" s="45"/>
      <c r="DA59" s="45"/>
      <c r="DD59" s="45"/>
      <c r="DE59" s="45"/>
      <c r="DF59" s="45"/>
      <c r="DI59" s="45"/>
      <c r="DJ59" s="45"/>
      <c r="DK59" s="45"/>
      <c r="DN59" s="45"/>
      <c r="DO59" s="45"/>
      <c r="DP59" s="45"/>
      <c r="DV59" s="45"/>
      <c r="DW59" s="45"/>
      <c r="DX59" s="45"/>
      <c r="EA59" s="45"/>
      <c r="EB59" s="45"/>
      <c r="EC59" s="45"/>
      <c r="EF59" s="45"/>
      <c r="EG59" s="45"/>
      <c r="EH59" s="45"/>
      <c r="EK59" s="45"/>
      <c r="EL59" s="45"/>
      <c r="EM59" s="45"/>
      <c r="EP59" s="45"/>
      <c r="EQ59" s="45"/>
      <c r="ER59" s="45"/>
      <c r="EX59" s="45"/>
      <c r="EY59" s="45"/>
      <c r="EZ59" s="45"/>
      <c r="FC59" s="45"/>
      <c r="FD59" s="45"/>
      <c r="FE59" s="45"/>
      <c r="FH59" s="45"/>
      <c r="FI59" s="45"/>
      <c r="FJ59" s="45"/>
      <c r="FM59" s="45"/>
      <c r="FN59" s="45"/>
      <c r="FO59" s="45"/>
      <c r="FR59" s="45"/>
      <c r="FS59" s="45"/>
      <c r="FT59" s="45"/>
    </row>
    <row r="60" spans="14:176">
      <c r="N60" s="45"/>
      <c r="O60" s="45"/>
      <c r="P60" s="45"/>
      <c r="S60" s="45"/>
      <c r="T60" s="45"/>
      <c r="U60" s="45"/>
      <c r="X60" s="45"/>
      <c r="Y60" s="45"/>
      <c r="Z60" s="45"/>
      <c r="AC60" s="45"/>
      <c r="AD60" s="45"/>
      <c r="AE60" s="45"/>
      <c r="AH60" s="45"/>
      <c r="AI60" s="45"/>
      <c r="AJ60" s="45"/>
      <c r="AP60" s="45"/>
      <c r="AQ60" s="45"/>
      <c r="AR60" s="45"/>
      <c r="AU60" s="45"/>
      <c r="AV60" s="45"/>
      <c r="AW60" s="45"/>
      <c r="AZ60" s="45"/>
      <c r="BA60" s="45"/>
      <c r="BB60" s="45"/>
      <c r="BE60" s="45"/>
      <c r="BF60" s="45"/>
      <c r="BG60" s="45"/>
      <c r="BJ60" s="45"/>
      <c r="BK60" s="45"/>
      <c r="BL60" s="45"/>
      <c r="BR60" s="45"/>
      <c r="BS60" s="45"/>
      <c r="BT60" s="45"/>
      <c r="BW60" s="45"/>
      <c r="BX60" s="45"/>
      <c r="BY60" s="45"/>
      <c r="CB60" s="45"/>
      <c r="CC60" s="45"/>
      <c r="CD60" s="45"/>
      <c r="CG60" s="45"/>
      <c r="CH60" s="45"/>
      <c r="CI60" s="45"/>
      <c r="CL60" s="45"/>
      <c r="CM60" s="45"/>
      <c r="CN60" s="45"/>
      <c r="CT60" s="45"/>
      <c r="CU60" s="45"/>
      <c r="CV60" s="45"/>
      <c r="CY60" s="45"/>
      <c r="CZ60" s="45"/>
      <c r="DA60" s="45"/>
      <c r="DD60" s="45"/>
      <c r="DE60" s="45"/>
      <c r="DF60" s="45"/>
      <c r="DI60" s="45"/>
      <c r="DJ60" s="45"/>
      <c r="DK60" s="45"/>
      <c r="DN60" s="45"/>
      <c r="DO60" s="45"/>
      <c r="DP60" s="45"/>
      <c r="DV60" s="45"/>
      <c r="DW60" s="45"/>
      <c r="DX60" s="45"/>
      <c r="EA60" s="45"/>
      <c r="EB60" s="45"/>
      <c r="EC60" s="45"/>
      <c r="EF60" s="45"/>
      <c r="EG60" s="45"/>
      <c r="EH60" s="45"/>
      <c r="EK60" s="45"/>
      <c r="EL60" s="45"/>
      <c r="EM60" s="45"/>
      <c r="EP60" s="45"/>
      <c r="EQ60" s="45"/>
      <c r="ER60" s="45"/>
      <c r="EX60" s="45"/>
      <c r="EY60" s="45"/>
      <c r="EZ60" s="45"/>
      <c r="FC60" s="45"/>
      <c r="FD60" s="45"/>
      <c r="FE60" s="45"/>
      <c r="FH60" s="45"/>
      <c r="FI60" s="45"/>
      <c r="FJ60" s="45"/>
      <c r="FM60" s="45"/>
      <c r="FN60" s="45"/>
      <c r="FO60" s="45"/>
      <c r="FR60" s="45"/>
      <c r="FS60" s="45"/>
      <c r="FT60" s="45"/>
    </row>
    <row r="61" spans="14:176">
      <c r="N61" s="45"/>
      <c r="O61" s="45"/>
      <c r="P61" s="45"/>
      <c r="S61" s="45"/>
      <c r="T61" s="45"/>
      <c r="U61" s="45"/>
      <c r="X61" s="45"/>
      <c r="Y61" s="45"/>
      <c r="Z61" s="45"/>
      <c r="AC61" s="45"/>
      <c r="AD61" s="45"/>
      <c r="AE61" s="45"/>
      <c r="AH61" s="45"/>
      <c r="AI61" s="45"/>
      <c r="AJ61" s="45"/>
      <c r="AP61" s="45"/>
      <c r="AQ61" s="45"/>
      <c r="AR61" s="45"/>
      <c r="AU61" s="45"/>
      <c r="AV61" s="45"/>
      <c r="AW61" s="45"/>
      <c r="AZ61" s="45"/>
      <c r="BA61" s="45"/>
      <c r="BB61" s="45"/>
      <c r="BE61" s="45"/>
      <c r="BF61" s="45"/>
      <c r="BG61" s="45"/>
      <c r="BJ61" s="45"/>
      <c r="BK61" s="45"/>
      <c r="BL61" s="45"/>
      <c r="BR61" s="45"/>
      <c r="BS61" s="45"/>
      <c r="BT61" s="45"/>
      <c r="BW61" s="45"/>
      <c r="BX61" s="45"/>
      <c r="BY61" s="45"/>
      <c r="CB61" s="45"/>
      <c r="CC61" s="45"/>
      <c r="CD61" s="45"/>
      <c r="CG61" s="45"/>
      <c r="CH61" s="45"/>
      <c r="CI61" s="45"/>
      <c r="CL61" s="45"/>
      <c r="CM61" s="45"/>
      <c r="CN61" s="45"/>
      <c r="CT61" s="45"/>
      <c r="CU61" s="45"/>
      <c r="CV61" s="45"/>
      <c r="CY61" s="45"/>
      <c r="CZ61" s="45"/>
      <c r="DA61" s="45"/>
      <c r="DD61" s="45"/>
      <c r="DE61" s="45"/>
      <c r="DF61" s="45"/>
      <c r="DI61" s="45"/>
      <c r="DJ61" s="45"/>
      <c r="DK61" s="45"/>
      <c r="DN61" s="45"/>
      <c r="DO61" s="45"/>
      <c r="DP61" s="45"/>
      <c r="DV61" s="45"/>
      <c r="DW61" s="45"/>
      <c r="DX61" s="45"/>
      <c r="EA61" s="45"/>
      <c r="EB61" s="45"/>
      <c r="EC61" s="45"/>
      <c r="EF61" s="45"/>
      <c r="EG61" s="45"/>
      <c r="EH61" s="45"/>
      <c r="EK61" s="45"/>
      <c r="EL61" s="45"/>
      <c r="EM61" s="45"/>
      <c r="EP61" s="45"/>
      <c r="EQ61" s="45"/>
      <c r="ER61" s="45"/>
      <c r="EX61" s="45"/>
      <c r="EY61" s="45"/>
      <c r="EZ61" s="45"/>
      <c r="FC61" s="45"/>
      <c r="FD61" s="45"/>
      <c r="FE61" s="45"/>
      <c r="FH61" s="45"/>
      <c r="FI61" s="45"/>
      <c r="FJ61" s="45"/>
      <c r="FM61" s="45"/>
      <c r="FN61" s="45"/>
      <c r="FO61" s="45"/>
      <c r="FR61" s="45"/>
      <c r="FS61" s="45"/>
      <c r="FT61" s="45"/>
    </row>
    <row r="62" spans="14:176">
      <c r="N62" s="45"/>
      <c r="O62" s="45"/>
      <c r="P62" s="45"/>
      <c r="S62" s="45"/>
      <c r="T62" s="45"/>
      <c r="U62" s="45"/>
      <c r="X62" s="45"/>
      <c r="Y62" s="45"/>
      <c r="Z62" s="45"/>
      <c r="AC62" s="45"/>
      <c r="AD62" s="45"/>
      <c r="AE62" s="45"/>
      <c r="AH62" s="45"/>
      <c r="AI62" s="45"/>
      <c r="AJ62" s="45"/>
      <c r="AP62" s="45"/>
      <c r="AQ62" s="45"/>
      <c r="AR62" s="45"/>
      <c r="AU62" s="45"/>
      <c r="AV62" s="45"/>
      <c r="AW62" s="45"/>
      <c r="AZ62" s="45"/>
      <c r="BA62" s="45"/>
      <c r="BB62" s="45"/>
      <c r="BE62" s="45"/>
      <c r="BF62" s="45"/>
      <c r="BG62" s="45"/>
      <c r="BJ62" s="45"/>
      <c r="BK62" s="45"/>
      <c r="BL62" s="45"/>
      <c r="BR62" s="45"/>
      <c r="BS62" s="45"/>
      <c r="BT62" s="45"/>
      <c r="BW62" s="45"/>
      <c r="BX62" s="45"/>
      <c r="BY62" s="45"/>
      <c r="CB62" s="45"/>
      <c r="CC62" s="45"/>
      <c r="CD62" s="45"/>
      <c r="CG62" s="45"/>
      <c r="CH62" s="45"/>
      <c r="CI62" s="45"/>
      <c r="CL62" s="45"/>
      <c r="CM62" s="45"/>
      <c r="CN62" s="45"/>
      <c r="CT62" s="45"/>
      <c r="CU62" s="45"/>
      <c r="CV62" s="45"/>
      <c r="CY62" s="45"/>
      <c r="CZ62" s="45"/>
      <c r="DA62" s="45"/>
      <c r="DD62" s="45"/>
      <c r="DE62" s="45"/>
      <c r="DF62" s="45"/>
      <c r="DI62" s="45"/>
      <c r="DJ62" s="45"/>
      <c r="DK62" s="45"/>
      <c r="DN62" s="45"/>
      <c r="DO62" s="45"/>
      <c r="DP62" s="45"/>
      <c r="DV62" s="45"/>
      <c r="DW62" s="45"/>
      <c r="DX62" s="45"/>
      <c r="EA62" s="45"/>
      <c r="EB62" s="45"/>
      <c r="EC62" s="45"/>
      <c r="EF62" s="45"/>
      <c r="EG62" s="45"/>
      <c r="EH62" s="45"/>
      <c r="EK62" s="45"/>
      <c r="EL62" s="45"/>
      <c r="EM62" s="45"/>
      <c r="EP62" s="45"/>
      <c r="EQ62" s="45"/>
      <c r="ER62" s="45"/>
      <c r="EX62" s="45"/>
      <c r="EY62" s="45"/>
      <c r="EZ62" s="45"/>
      <c r="FC62" s="45"/>
      <c r="FD62" s="45"/>
      <c r="FE62" s="45"/>
      <c r="FH62" s="45"/>
      <c r="FI62" s="45"/>
      <c r="FJ62" s="45"/>
      <c r="FM62" s="45"/>
      <c r="FN62" s="45"/>
      <c r="FO62" s="45"/>
      <c r="FR62" s="45"/>
      <c r="FS62" s="45"/>
      <c r="FT62" s="45"/>
    </row>
    <row r="63" spans="14:176">
      <c r="N63" s="45"/>
      <c r="O63" s="45"/>
      <c r="P63" s="45"/>
      <c r="S63" s="45"/>
      <c r="T63" s="45"/>
      <c r="U63" s="45"/>
      <c r="X63" s="45"/>
      <c r="Y63" s="45"/>
      <c r="Z63" s="45"/>
      <c r="AC63" s="45"/>
      <c r="AD63" s="45"/>
      <c r="AE63" s="45"/>
      <c r="AH63" s="45"/>
      <c r="AI63" s="45"/>
      <c r="AJ63" s="45"/>
      <c r="AP63" s="45"/>
      <c r="AQ63" s="45"/>
      <c r="AR63" s="45"/>
      <c r="AU63" s="45"/>
      <c r="AV63" s="45"/>
      <c r="AW63" s="45"/>
      <c r="AZ63" s="45"/>
      <c r="BA63" s="45"/>
      <c r="BB63" s="45"/>
      <c r="BE63" s="45"/>
      <c r="BF63" s="45"/>
      <c r="BG63" s="45"/>
      <c r="BJ63" s="45"/>
      <c r="BK63" s="45"/>
      <c r="BL63" s="45"/>
      <c r="BR63" s="45"/>
      <c r="BS63" s="45"/>
      <c r="BT63" s="45"/>
      <c r="BW63" s="45"/>
      <c r="BX63" s="45"/>
      <c r="BY63" s="45"/>
      <c r="CB63" s="45"/>
      <c r="CC63" s="45"/>
      <c r="CD63" s="45"/>
      <c r="CG63" s="45"/>
      <c r="CH63" s="45"/>
      <c r="CI63" s="45"/>
      <c r="CL63" s="45"/>
      <c r="CM63" s="45"/>
      <c r="CN63" s="45"/>
      <c r="CT63" s="45"/>
      <c r="CU63" s="45"/>
      <c r="CV63" s="45"/>
      <c r="CY63" s="45"/>
      <c r="CZ63" s="45"/>
      <c r="DA63" s="45"/>
      <c r="DD63" s="45"/>
      <c r="DE63" s="45"/>
      <c r="DF63" s="45"/>
      <c r="DI63" s="45"/>
      <c r="DJ63" s="45"/>
      <c r="DK63" s="45"/>
      <c r="DN63" s="45"/>
      <c r="DO63" s="45"/>
      <c r="DP63" s="45"/>
      <c r="DV63" s="45"/>
      <c r="DW63" s="45"/>
      <c r="DX63" s="45"/>
      <c r="EA63" s="45"/>
      <c r="EB63" s="45"/>
      <c r="EC63" s="45"/>
      <c r="EF63" s="45"/>
      <c r="EG63" s="45"/>
      <c r="EH63" s="45"/>
      <c r="EK63" s="45"/>
      <c r="EL63" s="45"/>
      <c r="EM63" s="45"/>
      <c r="EP63" s="45"/>
      <c r="EQ63" s="45"/>
      <c r="ER63" s="45"/>
      <c r="EX63" s="45"/>
      <c r="EY63" s="45"/>
      <c r="EZ63" s="45"/>
      <c r="FC63" s="45"/>
      <c r="FD63" s="45"/>
      <c r="FE63" s="45"/>
      <c r="FH63" s="45"/>
      <c r="FI63" s="45"/>
      <c r="FJ63" s="45"/>
      <c r="FM63" s="45"/>
      <c r="FN63" s="45"/>
      <c r="FO63" s="45"/>
      <c r="FR63" s="45"/>
      <c r="FS63" s="45"/>
      <c r="FT63" s="45"/>
    </row>
    <row r="64" spans="14:176">
      <c r="N64" s="45"/>
      <c r="O64" s="45"/>
      <c r="P64" s="45"/>
      <c r="S64" s="45"/>
      <c r="T64" s="45"/>
      <c r="U64" s="45"/>
      <c r="X64" s="45"/>
      <c r="Y64" s="45"/>
      <c r="Z64" s="45"/>
      <c r="AC64" s="45"/>
      <c r="AD64" s="45"/>
      <c r="AE64" s="45"/>
      <c r="AH64" s="45"/>
      <c r="AI64" s="45"/>
      <c r="AJ64" s="45"/>
      <c r="AP64" s="45"/>
      <c r="AQ64" s="45"/>
      <c r="AR64" s="45"/>
      <c r="AU64" s="45"/>
      <c r="AV64" s="45"/>
      <c r="AW64" s="45"/>
      <c r="AZ64" s="45"/>
      <c r="BA64" s="45"/>
      <c r="BB64" s="45"/>
      <c r="BE64" s="45"/>
      <c r="BF64" s="45"/>
      <c r="BG64" s="45"/>
      <c r="BJ64" s="45"/>
      <c r="BK64" s="45"/>
      <c r="BL64" s="45"/>
      <c r="BR64" s="45"/>
      <c r="BS64" s="45"/>
      <c r="BT64" s="45"/>
      <c r="BW64" s="45"/>
      <c r="BX64" s="45"/>
      <c r="BY64" s="45"/>
      <c r="CB64" s="45"/>
      <c r="CC64" s="45"/>
      <c r="CD64" s="45"/>
      <c r="CG64" s="45"/>
      <c r="CH64" s="45"/>
      <c r="CI64" s="45"/>
      <c r="CL64" s="45"/>
      <c r="CM64" s="45"/>
      <c r="CN64" s="45"/>
      <c r="CT64" s="45"/>
      <c r="CU64" s="45"/>
      <c r="CV64" s="45"/>
      <c r="CY64" s="45"/>
      <c r="CZ64" s="45"/>
      <c r="DA64" s="45"/>
      <c r="DD64" s="45"/>
      <c r="DE64" s="45"/>
      <c r="DF64" s="45"/>
      <c r="DI64" s="45"/>
      <c r="DJ64" s="45"/>
      <c r="DK64" s="45"/>
      <c r="DN64" s="45"/>
      <c r="DO64" s="45"/>
      <c r="DP64" s="45"/>
      <c r="DV64" s="45"/>
      <c r="DW64" s="45"/>
      <c r="DX64" s="45"/>
      <c r="EA64" s="45"/>
      <c r="EB64" s="45"/>
      <c r="EC64" s="45"/>
      <c r="EF64" s="45"/>
      <c r="EG64" s="45"/>
      <c r="EH64" s="45"/>
      <c r="EK64" s="45"/>
      <c r="EL64" s="45"/>
      <c r="EM64" s="45"/>
      <c r="EP64" s="45"/>
      <c r="EQ64" s="45"/>
      <c r="ER64" s="45"/>
      <c r="EX64" s="45"/>
      <c r="EY64" s="45"/>
      <c r="EZ64" s="45"/>
      <c r="FC64" s="45"/>
      <c r="FD64" s="45"/>
      <c r="FE64" s="45"/>
      <c r="FH64" s="45"/>
      <c r="FI64" s="45"/>
      <c r="FJ64" s="45"/>
      <c r="FM64" s="45"/>
      <c r="FN64" s="45"/>
      <c r="FO64" s="45"/>
      <c r="FR64" s="45"/>
      <c r="FS64" s="45"/>
      <c r="FT64" s="45"/>
    </row>
    <row r="65" spans="14:176">
      <c r="N65" s="45"/>
      <c r="O65" s="45"/>
      <c r="P65" s="45"/>
      <c r="S65" s="45"/>
      <c r="T65" s="45"/>
      <c r="U65" s="45"/>
      <c r="X65" s="45"/>
      <c r="Y65" s="45"/>
      <c r="Z65" s="45"/>
      <c r="AC65" s="45"/>
      <c r="AD65" s="45"/>
      <c r="AE65" s="45"/>
      <c r="AH65" s="45"/>
      <c r="AI65" s="45"/>
      <c r="AJ65" s="45"/>
      <c r="AP65" s="45"/>
      <c r="AQ65" s="45"/>
      <c r="AR65" s="45"/>
      <c r="AU65" s="45"/>
      <c r="AV65" s="45"/>
      <c r="AW65" s="45"/>
      <c r="AZ65" s="45"/>
      <c r="BA65" s="45"/>
      <c r="BB65" s="45"/>
      <c r="BE65" s="45"/>
      <c r="BF65" s="45"/>
      <c r="BG65" s="45"/>
      <c r="BJ65" s="45"/>
      <c r="BK65" s="45"/>
      <c r="BL65" s="45"/>
      <c r="BR65" s="45"/>
      <c r="BS65" s="45"/>
      <c r="BT65" s="45"/>
      <c r="BW65" s="45"/>
      <c r="BX65" s="45"/>
      <c r="BY65" s="45"/>
      <c r="CB65" s="45"/>
      <c r="CC65" s="45"/>
      <c r="CD65" s="45"/>
      <c r="CG65" s="45"/>
      <c r="CH65" s="45"/>
      <c r="CI65" s="45"/>
      <c r="CL65" s="45"/>
      <c r="CM65" s="45"/>
      <c r="CN65" s="45"/>
      <c r="CT65" s="45"/>
      <c r="CU65" s="45"/>
      <c r="CV65" s="45"/>
      <c r="CY65" s="45"/>
      <c r="CZ65" s="45"/>
      <c r="DA65" s="45"/>
      <c r="DD65" s="45"/>
      <c r="DE65" s="45"/>
      <c r="DF65" s="45"/>
      <c r="DI65" s="45"/>
      <c r="DJ65" s="45"/>
      <c r="DK65" s="45"/>
      <c r="DN65" s="45"/>
      <c r="DO65" s="45"/>
      <c r="DP65" s="45"/>
      <c r="DV65" s="45"/>
      <c r="DW65" s="45"/>
      <c r="DX65" s="45"/>
      <c r="EA65" s="45"/>
      <c r="EB65" s="45"/>
      <c r="EC65" s="45"/>
      <c r="EF65" s="45"/>
      <c r="EG65" s="45"/>
      <c r="EH65" s="45"/>
      <c r="EK65" s="45"/>
      <c r="EL65" s="45"/>
      <c r="EM65" s="45"/>
      <c r="EP65" s="45"/>
      <c r="EQ65" s="45"/>
      <c r="ER65" s="45"/>
      <c r="EX65" s="45"/>
      <c r="EY65" s="45"/>
      <c r="EZ65" s="45"/>
      <c r="FC65" s="45"/>
      <c r="FD65" s="45"/>
      <c r="FE65" s="45"/>
      <c r="FH65" s="45"/>
      <c r="FI65" s="45"/>
      <c r="FJ65" s="45"/>
      <c r="FM65" s="45"/>
      <c r="FN65" s="45"/>
      <c r="FO65" s="45"/>
      <c r="FR65" s="45"/>
      <c r="FS65" s="45"/>
      <c r="FT65" s="45"/>
    </row>
    <row r="66" spans="14:176">
      <c r="N66" s="45"/>
      <c r="O66" s="45"/>
      <c r="P66" s="45"/>
      <c r="S66" s="45"/>
      <c r="T66" s="45"/>
      <c r="U66" s="45"/>
      <c r="X66" s="45"/>
      <c r="Y66" s="45"/>
      <c r="Z66" s="45"/>
      <c r="AC66" s="45"/>
      <c r="AD66" s="45"/>
      <c r="AE66" s="45"/>
      <c r="AH66" s="45"/>
      <c r="AI66" s="45"/>
      <c r="AJ66" s="45"/>
      <c r="AP66" s="45"/>
      <c r="AQ66" s="45"/>
      <c r="AR66" s="45"/>
      <c r="AU66" s="45"/>
      <c r="AV66" s="45"/>
      <c r="AW66" s="45"/>
      <c r="AZ66" s="45"/>
      <c r="BA66" s="45"/>
      <c r="BB66" s="45"/>
      <c r="BE66" s="45"/>
      <c r="BF66" s="45"/>
      <c r="BG66" s="45"/>
      <c r="BJ66" s="45"/>
      <c r="BK66" s="45"/>
      <c r="BL66" s="45"/>
      <c r="BR66" s="45"/>
      <c r="BS66" s="45"/>
      <c r="BT66" s="45"/>
      <c r="BW66" s="45"/>
      <c r="BX66" s="45"/>
      <c r="BY66" s="45"/>
      <c r="CB66" s="45"/>
      <c r="CC66" s="45"/>
      <c r="CD66" s="45"/>
      <c r="CG66" s="45"/>
      <c r="CH66" s="45"/>
      <c r="CI66" s="45"/>
      <c r="CL66" s="45"/>
      <c r="CM66" s="45"/>
      <c r="CN66" s="45"/>
      <c r="CT66" s="45"/>
      <c r="CU66" s="45"/>
      <c r="CV66" s="45"/>
      <c r="CY66" s="45"/>
      <c r="CZ66" s="45"/>
      <c r="DA66" s="45"/>
      <c r="DD66" s="45"/>
      <c r="DE66" s="45"/>
      <c r="DF66" s="45"/>
      <c r="DI66" s="45"/>
      <c r="DJ66" s="45"/>
      <c r="DK66" s="45"/>
      <c r="DN66" s="45"/>
      <c r="DO66" s="45"/>
      <c r="DP66" s="45"/>
      <c r="DV66" s="45"/>
      <c r="DW66" s="45"/>
      <c r="DX66" s="45"/>
      <c r="EA66" s="45"/>
      <c r="EB66" s="45"/>
      <c r="EC66" s="45"/>
      <c r="EF66" s="45"/>
      <c r="EG66" s="45"/>
      <c r="EH66" s="45"/>
      <c r="EK66" s="45"/>
      <c r="EL66" s="45"/>
      <c r="EM66" s="45"/>
      <c r="EP66" s="45"/>
      <c r="EQ66" s="45"/>
      <c r="ER66" s="45"/>
      <c r="EX66" s="45"/>
      <c r="EY66" s="45"/>
      <c r="EZ66" s="45"/>
      <c r="FC66" s="45"/>
      <c r="FD66" s="45"/>
      <c r="FE66" s="45"/>
      <c r="FH66" s="45"/>
      <c r="FI66" s="45"/>
      <c r="FJ66" s="45"/>
      <c r="FM66" s="45"/>
      <c r="FN66" s="45"/>
      <c r="FO66" s="45"/>
      <c r="FR66" s="45"/>
      <c r="FS66" s="45"/>
      <c r="FT66" s="45"/>
    </row>
    <row r="67" spans="14:176">
      <c r="N67" s="45"/>
      <c r="O67" s="45"/>
      <c r="P67" s="45"/>
      <c r="S67" s="45"/>
      <c r="T67" s="45"/>
      <c r="U67" s="45"/>
      <c r="X67" s="45"/>
      <c r="Y67" s="45"/>
      <c r="Z67" s="45"/>
      <c r="AC67" s="45"/>
      <c r="AD67" s="45"/>
      <c r="AE67" s="45"/>
      <c r="AH67" s="45"/>
      <c r="AI67" s="45"/>
      <c r="AJ67" s="45"/>
      <c r="AP67" s="45"/>
      <c r="AQ67" s="45"/>
      <c r="AR67" s="45"/>
      <c r="AU67" s="45"/>
      <c r="AV67" s="45"/>
      <c r="AW67" s="45"/>
      <c r="AZ67" s="45"/>
      <c r="BA67" s="45"/>
      <c r="BB67" s="45"/>
      <c r="BE67" s="45"/>
      <c r="BF67" s="45"/>
      <c r="BG67" s="45"/>
      <c r="BJ67" s="45"/>
      <c r="BK67" s="45"/>
      <c r="BL67" s="45"/>
      <c r="BR67" s="45"/>
      <c r="BS67" s="45"/>
      <c r="BT67" s="45"/>
      <c r="BW67" s="45"/>
      <c r="BX67" s="45"/>
      <c r="BY67" s="45"/>
      <c r="CB67" s="45"/>
      <c r="CC67" s="45"/>
      <c r="CD67" s="45"/>
      <c r="CG67" s="45"/>
      <c r="CH67" s="45"/>
      <c r="CI67" s="45"/>
      <c r="CL67" s="45"/>
      <c r="CM67" s="45"/>
      <c r="CN67" s="45"/>
      <c r="CT67" s="45"/>
      <c r="CU67" s="45"/>
      <c r="CV67" s="45"/>
      <c r="CY67" s="45"/>
      <c r="CZ67" s="45"/>
      <c r="DA67" s="45"/>
      <c r="DD67" s="45"/>
      <c r="DE67" s="45"/>
      <c r="DF67" s="45"/>
      <c r="DI67" s="45"/>
      <c r="DJ67" s="45"/>
      <c r="DK67" s="45"/>
      <c r="DN67" s="45"/>
      <c r="DO67" s="45"/>
      <c r="DP67" s="45"/>
      <c r="DV67" s="45"/>
      <c r="DW67" s="45"/>
      <c r="DX67" s="45"/>
      <c r="EA67" s="45"/>
      <c r="EB67" s="45"/>
      <c r="EC67" s="45"/>
      <c r="EF67" s="45"/>
      <c r="EG67" s="45"/>
      <c r="EH67" s="45"/>
      <c r="EK67" s="45"/>
      <c r="EL67" s="45"/>
      <c r="EM67" s="45"/>
      <c r="EP67" s="45"/>
      <c r="EQ67" s="45"/>
      <c r="ER67" s="45"/>
      <c r="EX67" s="45"/>
      <c r="EY67" s="45"/>
      <c r="EZ67" s="45"/>
      <c r="FC67" s="45"/>
      <c r="FD67" s="45"/>
      <c r="FE67" s="45"/>
      <c r="FH67" s="45"/>
      <c r="FI67" s="45"/>
      <c r="FJ67" s="45"/>
      <c r="FM67" s="45"/>
      <c r="FN67" s="45"/>
      <c r="FO67" s="45"/>
      <c r="FR67" s="45"/>
      <c r="FS67" s="45"/>
      <c r="FT67" s="45"/>
    </row>
    <row r="68" spans="14:176">
      <c r="N68" s="45"/>
      <c r="O68" s="45"/>
      <c r="P68" s="45"/>
      <c r="S68" s="45"/>
      <c r="T68" s="45"/>
      <c r="U68" s="45"/>
      <c r="X68" s="45"/>
      <c r="Y68" s="45"/>
      <c r="Z68" s="45"/>
      <c r="AC68" s="45"/>
      <c r="AD68" s="45"/>
      <c r="AE68" s="45"/>
      <c r="AH68" s="45"/>
      <c r="AI68" s="45"/>
      <c r="AJ68" s="45"/>
      <c r="AP68" s="45"/>
      <c r="AQ68" s="45"/>
      <c r="AR68" s="45"/>
      <c r="AU68" s="45"/>
      <c r="AV68" s="45"/>
      <c r="AW68" s="45"/>
      <c r="AZ68" s="45"/>
      <c r="BA68" s="45"/>
      <c r="BB68" s="45"/>
      <c r="BE68" s="45"/>
      <c r="BF68" s="45"/>
      <c r="BG68" s="45"/>
      <c r="BJ68" s="45"/>
      <c r="BK68" s="45"/>
      <c r="BL68" s="45"/>
      <c r="BR68" s="45"/>
      <c r="BS68" s="45"/>
      <c r="BT68" s="45"/>
      <c r="BW68" s="45"/>
      <c r="BX68" s="45"/>
      <c r="BY68" s="45"/>
      <c r="CB68" s="45"/>
      <c r="CC68" s="45"/>
      <c r="CD68" s="45"/>
      <c r="CG68" s="45"/>
      <c r="CH68" s="45"/>
      <c r="CI68" s="45"/>
      <c r="CL68" s="45"/>
      <c r="CM68" s="45"/>
      <c r="CN68" s="45"/>
      <c r="CT68" s="45"/>
      <c r="CU68" s="45"/>
      <c r="CV68" s="45"/>
      <c r="CY68" s="45"/>
      <c r="CZ68" s="45"/>
      <c r="DA68" s="45"/>
      <c r="DD68" s="45"/>
      <c r="DE68" s="45"/>
      <c r="DF68" s="45"/>
      <c r="DI68" s="45"/>
      <c r="DJ68" s="45"/>
      <c r="DK68" s="45"/>
      <c r="DN68" s="45"/>
      <c r="DO68" s="45"/>
      <c r="DP68" s="45"/>
      <c r="DV68" s="45"/>
      <c r="DW68" s="45"/>
      <c r="DX68" s="45"/>
      <c r="EA68" s="45"/>
      <c r="EB68" s="45"/>
      <c r="EC68" s="45"/>
      <c r="EF68" s="45"/>
      <c r="EG68" s="45"/>
      <c r="EH68" s="45"/>
      <c r="EK68" s="45"/>
      <c r="EL68" s="45"/>
      <c r="EM68" s="45"/>
      <c r="EP68" s="45"/>
      <c r="EQ68" s="45"/>
      <c r="ER68" s="45"/>
      <c r="EX68" s="45"/>
      <c r="EY68" s="45"/>
      <c r="EZ68" s="45"/>
      <c r="FC68" s="45"/>
      <c r="FD68" s="45"/>
      <c r="FE68" s="45"/>
      <c r="FH68" s="45"/>
      <c r="FI68" s="45"/>
      <c r="FJ68" s="45"/>
      <c r="FM68" s="45"/>
      <c r="FN68" s="45"/>
      <c r="FO68" s="45"/>
      <c r="FR68" s="45"/>
      <c r="FS68" s="45"/>
      <c r="FT68" s="45"/>
    </row>
    <row r="69" spans="14:176">
      <c r="N69" s="45"/>
      <c r="O69" s="45"/>
      <c r="P69" s="45"/>
      <c r="S69" s="45"/>
      <c r="T69" s="45"/>
      <c r="U69" s="45"/>
      <c r="X69" s="45"/>
      <c r="Y69" s="45"/>
      <c r="Z69" s="45"/>
      <c r="AC69" s="45"/>
      <c r="AD69" s="45"/>
      <c r="AE69" s="45"/>
      <c r="AH69" s="45"/>
      <c r="AI69" s="45"/>
      <c r="AJ69" s="45"/>
      <c r="AP69" s="45"/>
      <c r="AQ69" s="45"/>
      <c r="AR69" s="45"/>
      <c r="AU69" s="45"/>
      <c r="AV69" s="45"/>
      <c r="AW69" s="45"/>
      <c r="AZ69" s="45"/>
      <c r="BA69" s="45"/>
      <c r="BB69" s="45"/>
      <c r="BE69" s="45"/>
      <c r="BF69" s="45"/>
      <c r="BG69" s="45"/>
      <c r="BJ69" s="45"/>
      <c r="BK69" s="45"/>
      <c r="BL69" s="45"/>
      <c r="BR69" s="45"/>
      <c r="BS69" s="45"/>
      <c r="BT69" s="45"/>
      <c r="BW69" s="45"/>
      <c r="BX69" s="45"/>
      <c r="BY69" s="45"/>
      <c r="CB69" s="45"/>
      <c r="CC69" s="45"/>
      <c r="CD69" s="45"/>
      <c r="CG69" s="45"/>
      <c r="CH69" s="45"/>
      <c r="CI69" s="45"/>
      <c r="CL69" s="45"/>
      <c r="CM69" s="45"/>
      <c r="CN69" s="45"/>
      <c r="CT69" s="45"/>
      <c r="CU69" s="45"/>
      <c r="CV69" s="45"/>
      <c r="CY69" s="45"/>
      <c r="CZ69" s="45"/>
      <c r="DA69" s="45"/>
      <c r="DD69" s="45"/>
      <c r="DE69" s="45"/>
      <c r="DF69" s="45"/>
      <c r="DI69" s="45"/>
      <c r="DJ69" s="45"/>
      <c r="DK69" s="45"/>
      <c r="DN69" s="45"/>
      <c r="DO69" s="45"/>
      <c r="DP69" s="45"/>
      <c r="DV69" s="45"/>
      <c r="DW69" s="45"/>
      <c r="DX69" s="45"/>
      <c r="EA69" s="45"/>
      <c r="EB69" s="45"/>
      <c r="EC69" s="45"/>
      <c r="EF69" s="45"/>
      <c r="EG69" s="45"/>
      <c r="EH69" s="45"/>
      <c r="EK69" s="45"/>
      <c r="EL69" s="45"/>
      <c r="EM69" s="45"/>
      <c r="EP69" s="45"/>
      <c r="EQ69" s="45"/>
      <c r="ER69" s="45"/>
      <c r="EX69" s="45"/>
      <c r="EY69" s="45"/>
      <c r="EZ69" s="45"/>
      <c r="FC69" s="45"/>
      <c r="FD69" s="45"/>
      <c r="FE69" s="45"/>
      <c r="FH69" s="45"/>
      <c r="FI69" s="45"/>
      <c r="FJ69" s="45"/>
      <c r="FM69" s="45"/>
      <c r="FN69" s="45"/>
      <c r="FO69" s="45"/>
      <c r="FR69" s="45"/>
      <c r="FS69" s="45"/>
      <c r="FT69" s="45"/>
    </row>
    <row r="70" spans="14:176">
      <c r="N70" s="45"/>
      <c r="O70" s="45"/>
      <c r="P70" s="45"/>
      <c r="S70" s="45"/>
      <c r="T70" s="45"/>
      <c r="U70" s="45"/>
      <c r="X70" s="45"/>
      <c r="Y70" s="45"/>
      <c r="Z70" s="45"/>
      <c r="AC70" s="45"/>
      <c r="AD70" s="45"/>
      <c r="AE70" s="45"/>
      <c r="AH70" s="45"/>
      <c r="AI70" s="45"/>
      <c r="AJ70" s="45"/>
      <c r="AP70" s="45"/>
      <c r="AQ70" s="45"/>
      <c r="AR70" s="45"/>
      <c r="AU70" s="45"/>
      <c r="AV70" s="45"/>
      <c r="AW70" s="45"/>
      <c r="AZ70" s="45"/>
      <c r="BA70" s="45"/>
      <c r="BB70" s="45"/>
      <c r="BE70" s="45"/>
      <c r="BF70" s="45"/>
      <c r="BG70" s="45"/>
      <c r="BJ70" s="45"/>
      <c r="BK70" s="45"/>
      <c r="BL70" s="45"/>
      <c r="BR70" s="45"/>
      <c r="BS70" s="45"/>
      <c r="BT70" s="45"/>
      <c r="BW70" s="45"/>
      <c r="BX70" s="45"/>
      <c r="BY70" s="45"/>
      <c r="CB70" s="45"/>
      <c r="CC70" s="45"/>
      <c r="CD70" s="45"/>
      <c r="CG70" s="45"/>
      <c r="CH70" s="45"/>
      <c r="CI70" s="45"/>
      <c r="CL70" s="45"/>
      <c r="CM70" s="45"/>
      <c r="CN70" s="45"/>
      <c r="CT70" s="45"/>
      <c r="CU70" s="45"/>
      <c r="CV70" s="45"/>
      <c r="CY70" s="45"/>
      <c r="CZ70" s="45"/>
      <c r="DA70" s="45"/>
      <c r="DD70" s="45"/>
      <c r="DE70" s="45"/>
      <c r="DF70" s="45"/>
      <c r="DI70" s="45"/>
      <c r="DJ70" s="45"/>
      <c r="DK70" s="45"/>
      <c r="DN70" s="45"/>
      <c r="DO70" s="45"/>
      <c r="DP70" s="45"/>
      <c r="DV70" s="45"/>
      <c r="DW70" s="45"/>
      <c r="DX70" s="45"/>
      <c r="EA70" s="45"/>
      <c r="EB70" s="45"/>
      <c r="EC70" s="45"/>
      <c r="EF70" s="45"/>
      <c r="EG70" s="45"/>
      <c r="EH70" s="45"/>
      <c r="EK70" s="45"/>
      <c r="EL70" s="45"/>
      <c r="EM70" s="45"/>
      <c r="EP70" s="45"/>
      <c r="EQ70" s="45"/>
      <c r="ER70" s="45"/>
      <c r="EX70" s="45"/>
      <c r="EY70" s="45"/>
      <c r="EZ70" s="45"/>
      <c r="FC70" s="45"/>
      <c r="FD70" s="45"/>
      <c r="FE70" s="45"/>
      <c r="FH70" s="45"/>
      <c r="FI70" s="45"/>
      <c r="FJ70" s="45"/>
      <c r="FM70" s="45"/>
      <c r="FN70" s="45"/>
      <c r="FO70" s="45"/>
      <c r="FR70" s="45"/>
      <c r="FS70" s="45"/>
      <c r="FT70" s="45"/>
    </row>
    <row r="71" spans="14:176">
      <c r="N71" s="45"/>
      <c r="O71" s="45"/>
      <c r="P71" s="45"/>
      <c r="S71" s="45"/>
      <c r="T71" s="45"/>
      <c r="U71" s="45"/>
      <c r="X71" s="45"/>
      <c r="Y71" s="45"/>
      <c r="Z71" s="45"/>
      <c r="AC71" s="45"/>
      <c r="AD71" s="45"/>
      <c r="AE71" s="45"/>
      <c r="AH71" s="45"/>
      <c r="AI71" s="45"/>
      <c r="AJ71" s="45"/>
      <c r="AP71" s="45"/>
      <c r="AQ71" s="45"/>
      <c r="AR71" s="45"/>
      <c r="AU71" s="45"/>
      <c r="AV71" s="45"/>
      <c r="AW71" s="45"/>
      <c r="AZ71" s="45"/>
      <c r="BA71" s="45"/>
      <c r="BB71" s="45"/>
      <c r="BE71" s="45"/>
      <c r="BF71" s="45"/>
      <c r="BG71" s="45"/>
      <c r="BJ71" s="45"/>
      <c r="BK71" s="45"/>
      <c r="BL71" s="45"/>
      <c r="BR71" s="45"/>
      <c r="BS71" s="45"/>
      <c r="BT71" s="45"/>
      <c r="BW71" s="45"/>
      <c r="BX71" s="45"/>
      <c r="BY71" s="45"/>
      <c r="CB71" s="45"/>
      <c r="CC71" s="45"/>
      <c r="CD71" s="45"/>
      <c r="CG71" s="45"/>
      <c r="CH71" s="45"/>
      <c r="CI71" s="45"/>
      <c r="CL71" s="45"/>
      <c r="CM71" s="45"/>
      <c r="CN71" s="45"/>
      <c r="CT71" s="45"/>
      <c r="CU71" s="45"/>
      <c r="CV71" s="45"/>
      <c r="CY71" s="45"/>
      <c r="CZ71" s="45"/>
      <c r="DA71" s="45"/>
      <c r="DD71" s="45"/>
      <c r="DE71" s="45"/>
      <c r="DF71" s="45"/>
      <c r="DI71" s="45"/>
      <c r="DJ71" s="45"/>
      <c r="DK71" s="45"/>
      <c r="DN71" s="45"/>
      <c r="DO71" s="45"/>
      <c r="DP71" s="45"/>
      <c r="DV71" s="45"/>
      <c r="DW71" s="45"/>
      <c r="DX71" s="45"/>
      <c r="EA71" s="45"/>
      <c r="EB71" s="45"/>
      <c r="EC71" s="45"/>
      <c r="EF71" s="45"/>
      <c r="EG71" s="45"/>
      <c r="EH71" s="45"/>
      <c r="EK71" s="45"/>
      <c r="EL71" s="45"/>
      <c r="EM71" s="45"/>
      <c r="EP71" s="45"/>
      <c r="EQ71" s="45"/>
      <c r="ER71" s="45"/>
      <c r="EX71" s="45"/>
      <c r="EY71" s="45"/>
      <c r="EZ71" s="45"/>
      <c r="FC71" s="45"/>
      <c r="FD71" s="45"/>
      <c r="FE71" s="45"/>
      <c r="FH71" s="45"/>
      <c r="FI71" s="45"/>
      <c r="FJ71" s="45"/>
      <c r="FM71" s="45"/>
      <c r="FN71" s="45"/>
      <c r="FO71" s="45"/>
      <c r="FR71" s="45"/>
      <c r="FS71" s="45"/>
      <c r="FT71" s="45"/>
    </row>
    <row r="72" spans="14:176">
      <c r="N72" s="45"/>
      <c r="O72" s="45"/>
      <c r="P72" s="45"/>
      <c r="S72" s="45"/>
      <c r="T72" s="45"/>
      <c r="U72" s="45"/>
      <c r="X72" s="45"/>
      <c r="Y72" s="45"/>
      <c r="Z72" s="45"/>
      <c r="AC72" s="45"/>
      <c r="AD72" s="45"/>
      <c r="AE72" s="45"/>
      <c r="AH72" s="45"/>
      <c r="AI72" s="45"/>
      <c r="AJ72" s="45"/>
      <c r="AP72" s="45"/>
      <c r="AQ72" s="45"/>
      <c r="AR72" s="45"/>
      <c r="AU72" s="45"/>
      <c r="AV72" s="45"/>
      <c r="AW72" s="45"/>
      <c r="AZ72" s="45"/>
      <c r="BA72" s="45"/>
      <c r="BB72" s="45"/>
      <c r="BE72" s="45"/>
      <c r="BF72" s="45"/>
      <c r="BG72" s="45"/>
      <c r="BJ72" s="45"/>
      <c r="BK72" s="45"/>
      <c r="BL72" s="45"/>
      <c r="BR72" s="45"/>
      <c r="BS72" s="45"/>
      <c r="BT72" s="45"/>
      <c r="BW72" s="45"/>
      <c r="BX72" s="45"/>
      <c r="BY72" s="45"/>
      <c r="CB72" s="45"/>
      <c r="CC72" s="45"/>
      <c r="CD72" s="45"/>
      <c r="CG72" s="45"/>
      <c r="CH72" s="45"/>
      <c r="CI72" s="45"/>
      <c r="CL72" s="45"/>
      <c r="CM72" s="45"/>
      <c r="CN72" s="45"/>
      <c r="CT72" s="45"/>
      <c r="CU72" s="45"/>
      <c r="CV72" s="45"/>
      <c r="CY72" s="45"/>
      <c r="CZ72" s="45"/>
      <c r="DA72" s="45"/>
      <c r="DD72" s="45"/>
      <c r="DE72" s="45"/>
      <c r="DF72" s="45"/>
      <c r="DI72" s="45"/>
      <c r="DJ72" s="45"/>
      <c r="DK72" s="45"/>
      <c r="DN72" s="45"/>
      <c r="DO72" s="45"/>
      <c r="DP72" s="45"/>
      <c r="DV72" s="45"/>
      <c r="DW72" s="45"/>
      <c r="DX72" s="45"/>
      <c r="EA72" s="45"/>
      <c r="EB72" s="45"/>
      <c r="EC72" s="45"/>
      <c r="EF72" s="45"/>
      <c r="EG72" s="45"/>
      <c r="EH72" s="45"/>
      <c r="EK72" s="45"/>
      <c r="EL72" s="45"/>
      <c r="EM72" s="45"/>
      <c r="EP72" s="45"/>
      <c r="EQ72" s="45"/>
      <c r="ER72" s="45"/>
      <c r="EX72" s="45"/>
      <c r="EY72" s="45"/>
      <c r="EZ72" s="45"/>
      <c r="FC72" s="45"/>
      <c r="FD72" s="45"/>
      <c r="FE72" s="45"/>
      <c r="FH72" s="45"/>
      <c r="FI72" s="45"/>
      <c r="FJ72" s="45"/>
      <c r="FM72" s="45"/>
      <c r="FN72" s="45"/>
      <c r="FO72" s="45"/>
      <c r="FR72" s="45"/>
      <c r="FS72" s="45"/>
      <c r="FT72" s="45"/>
    </row>
    <row r="73" spans="14:176">
      <c r="N73" s="45"/>
      <c r="O73" s="45"/>
      <c r="P73" s="45"/>
      <c r="S73" s="45"/>
      <c r="T73" s="45"/>
      <c r="U73" s="45"/>
      <c r="X73" s="45"/>
      <c r="Y73" s="45"/>
      <c r="Z73" s="45"/>
      <c r="AC73" s="45"/>
      <c r="AD73" s="45"/>
      <c r="AE73" s="45"/>
      <c r="AH73" s="45"/>
      <c r="AI73" s="45"/>
      <c r="AJ73" s="45"/>
      <c r="AP73" s="45"/>
      <c r="AQ73" s="45"/>
      <c r="AR73" s="45"/>
      <c r="AU73" s="45"/>
      <c r="AV73" s="45"/>
      <c r="AW73" s="45"/>
      <c r="AZ73" s="45"/>
      <c r="BA73" s="45"/>
      <c r="BB73" s="45"/>
      <c r="BE73" s="45"/>
      <c r="BF73" s="45"/>
      <c r="BG73" s="45"/>
      <c r="BJ73" s="45"/>
      <c r="BK73" s="45"/>
      <c r="BL73" s="45"/>
      <c r="BR73" s="45"/>
      <c r="BS73" s="45"/>
      <c r="BT73" s="45"/>
      <c r="BW73" s="45"/>
      <c r="BX73" s="45"/>
      <c r="BY73" s="45"/>
      <c r="CB73" s="45"/>
      <c r="CC73" s="45"/>
      <c r="CD73" s="45"/>
      <c r="CG73" s="45"/>
      <c r="CH73" s="45"/>
      <c r="CI73" s="45"/>
      <c r="CL73" s="45"/>
      <c r="CM73" s="45"/>
      <c r="CN73" s="45"/>
      <c r="CT73" s="45"/>
      <c r="CU73" s="45"/>
      <c r="CV73" s="45"/>
      <c r="CY73" s="45"/>
      <c r="CZ73" s="45"/>
      <c r="DA73" s="45"/>
      <c r="DD73" s="45"/>
      <c r="DE73" s="45"/>
      <c r="DF73" s="45"/>
      <c r="DI73" s="45"/>
      <c r="DJ73" s="45"/>
      <c r="DK73" s="45"/>
      <c r="DN73" s="45"/>
      <c r="DO73" s="45"/>
      <c r="DP73" s="45"/>
      <c r="DV73" s="45"/>
      <c r="DW73" s="45"/>
      <c r="DX73" s="45"/>
      <c r="EA73" s="45"/>
      <c r="EB73" s="45"/>
      <c r="EC73" s="45"/>
      <c r="EF73" s="45"/>
      <c r="EG73" s="45"/>
      <c r="EH73" s="45"/>
      <c r="EK73" s="45"/>
      <c r="EL73" s="45"/>
      <c r="EM73" s="45"/>
      <c r="EP73" s="45"/>
      <c r="EQ73" s="45"/>
      <c r="ER73" s="45"/>
      <c r="EX73" s="45"/>
      <c r="EY73" s="45"/>
      <c r="EZ73" s="45"/>
      <c r="FC73" s="45"/>
      <c r="FD73" s="45"/>
      <c r="FE73" s="45"/>
      <c r="FH73" s="45"/>
      <c r="FI73" s="45"/>
      <c r="FJ73" s="45"/>
      <c r="FM73" s="45"/>
      <c r="FN73" s="45"/>
      <c r="FO73" s="45"/>
      <c r="FR73" s="45"/>
      <c r="FS73" s="45"/>
      <c r="FT73" s="45"/>
    </row>
    <row r="74" spans="14:176">
      <c r="N74" s="45"/>
      <c r="O74" s="45"/>
      <c r="P74" s="45"/>
      <c r="S74" s="45"/>
      <c r="T74" s="45"/>
      <c r="U74" s="45"/>
      <c r="X74" s="45"/>
      <c r="Y74" s="45"/>
      <c r="Z74" s="45"/>
      <c r="AC74" s="45"/>
      <c r="AD74" s="45"/>
      <c r="AE74" s="45"/>
      <c r="AH74" s="45"/>
      <c r="AI74" s="45"/>
      <c r="AJ74" s="45"/>
      <c r="AP74" s="45"/>
      <c r="AQ74" s="45"/>
      <c r="AR74" s="45"/>
      <c r="AU74" s="45"/>
      <c r="AV74" s="45"/>
      <c r="AW74" s="45"/>
      <c r="AZ74" s="45"/>
      <c r="BA74" s="45"/>
      <c r="BB74" s="45"/>
      <c r="BE74" s="45"/>
      <c r="BF74" s="45"/>
      <c r="BG74" s="45"/>
      <c r="BJ74" s="45"/>
      <c r="BK74" s="45"/>
      <c r="BL74" s="45"/>
      <c r="BR74" s="45"/>
      <c r="BS74" s="45"/>
      <c r="BT74" s="45"/>
      <c r="BW74" s="45"/>
      <c r="BX74" s="45"/>
      <c r="BY74" s="45"/>
      <c r="CB74" s="45"/>
      <c r="CC74" s="45"/>
      <c r="CD74" s="45"/>
      <c r="CG74" s="45"/>
      <c r="CH74" s="45"/>
      <c r="CI74" s="45"/>
      <c r="CL74" s="45"/>
      <c r="CM74" s="45"/>
      <c r="CN74" s="45"/>
      <c r="CT74" s="45"/>
      <c r="CU74" s="45"/>
      <c r="CV74" s="45"/>
      <c r="CY74" s="45"/>
      <c r="CZ74" s="45"/>
      <c r="DA74" s="45"/>
      <c r="DD74" s="45"/>
      <c r="DE74" s="45"/>
      <c r="DF74" s="45"/>
      <c r="DI74" s="45"/>
      <c r="DJ74" s="45"/>
      <c r="DK74" s="45"/>
      <c r="DN74" s="45"/>
      <c r="DO74" s="45"/>
      <c r="DP74" s="45"/>
      <c r="DV74" s="45"/>
      <c r="DW74" s="45"/>
      <c r="DX74" s="45"/>
      <c r="EA74" s="45"/>
      <c r="EB74" s="45"/>
      <c r="EC74" s="45"/>
      <c r="EF74" s="45"/>
      <c r="EG74" s="45"/>
      <c r="EH74" s="45"/>
      <c r="EK74" s="45"/>
      <c r="EL74" s="45"/>
      <c r="EM74" s="45"/>
      <c r="EP74" s="45"/>
      <c r="EQ74" s="45"/>
      <c r="ER74" s="45"/>
      <c r="EX74" s="45"/>
      <c r="EY74" s="45"/>
      <c r="EZ74" s="45"/>
      <c r="FC74" s="45"/>
      <c r="FD74" s="45"/>
      <c r="FE74" s="45"/>
      <c r="FH74" s="45"/>
      <c r="FI74" s="45"/>
      <c r="FJ74" s="45"/>
      <c r="FM74" s="45"/>
      <c r="FN74" s="45"/>
      <c r="FO74" s="45"/>
      <c r="FR74" s="45"/>
      <c r="FS74" s="45"/>
      <c r="FT74" s="45"/>
    </row>
    <row r="75" spans="14:176">
      <c r="N75" s="45"/>
      <c r="O75" s="45"/>
      <c r="P75" s="45"/>
      <c r="S75" s="45"/>
      <c r="T75" s="45"/>
      <c r="U75" s="45"/>
      <c r="X75" s="45"/>
      <c r="Y75" s="45"/>
      <c r="Z75" s="45"/>
      <c r="AC75" s="45"/>
      <c r="AD75" s="45"/>
      <c r="AE75" s="45"/>
      <c r="AH75" s="45"/>
      <c r="AI75" s="45"/>
      <c r="AJ75" s="45"/>
      <c r="AP75" s="45"/>
      <c r="AQ75" s="45"/>
      <c r="AR75" s="45"/>
      <c r="AU75" s="45"/>
      <c r="AV75" s="45"/>
      <c r="AW75" s="45"/>
      <c r="AZ75" s="45"/>
      <c r="BA75" s="45"/>
      <c r="BB75" s="45"/>
      <c r="BE75" s="45"/>
      <c r="BF75" s="45"/>
      <c r="BG75" s="45"/>
      <c r="BJ75" s="45"/>
      <c r="BK75" s="45"/>
      <c r="BL75" s="45"/>
      <c r="BR75" s="45"/>
      <c r="BS75" s="45"/>
      <c r="BT75" s="45"/>
      <c r="BW75" s="45"/>
      <c r="BX75" s="45"/>
      <c r="BY75" s="45"/>
      <c r="CB75" s="45"/>
      <c r="CC75" s="45"/>
      <c r="CD75" s="45"/>
      <c r="CG75" s="45"/>
      <c r="CH75" s="45"/>
      <c r="CI75" s="45"/>
      <c r="CL75" s="45"/>
      <c r="CM75" s="45"/>
      <c r="CN75" s="45"/>
      <c r="CT75" s="45"/>
      <c r="CU75" s="45"/>
      <c r="CV75" s="45"/>
      <c r="CY75" s="45"/>
      <c r="CZ75" s="45"/>
      <c r="DA75" s="45"/>
      <c r="DD75" s="45"/>
      <c r="DE75" s="45"/>
      <c r="DF75" s="45"/>
      <c r="DI75" s="45"/>
      <c r="DJ75" s="45"/>
      <c r="DK75" s="45"/>
      <c r="DN75" s="45"/>
      <c r="DO75" s="45"/>
      <c r="DP75" s="45"/>
      <c r="DV75" s="45"/>
      <c r="DW75" s="45"/>
      <c r="DX75" s="45"/>
      <c r="EA75" s="45"/>
      <c r="EB75" s="45"/>
      <c r="EC75" s="45"/>
      <c r="EF75" s="45"/>
      <c r="EG75" s="45"/>
      <c r="EH75" s="45"/>
      <c r="EK75" s="45"/>
      <c r="EL75" s="45"/>
      <c r="EM75" s="45"/>
      <c r="EP75" s="45"/>
      <c r="EQ75" s="45"/>
      <c r="ER75" s="45"/>
      <c r="EX75" s="45"/>
      <c r="EY75" s="45"/>
      <c r="EZ75" s="45"/>
      <c r="FC75" s="45"/>
      <c r="FD75" s="45"/>
      <c r="FE75" s="45"/>
      <c r="FH75" s="45"/>
      <c r="FI75" s="45"/>
      <c r="FJ75" s="45"/>
      <c r="FM75" s="45"/>
      <c r="FN75" s="45"/>
      <c r="FO75" s="45"/>
      <c r="FR75" s="45"/>
      <c r="FS75" s="45"/>
      <c r="FT75" s="45"/>
    </row>
    <row r="76" spans="14:176">
      <c r="N76" s="45"/>
      <c r="O76" s="45"/>
      <c r="P76" s="45"/>
      <c r="S76" s="45"/>
      <c r="T76" s="45"/>
      <c r="U76" s="45"/>
      <c r="X76" s="45"/>
      <c r="Y76" s="45"/>
      <c r="Z76" s="45"/>
      <c r="AC76" s="45"/>
      <c r="AD76" s="45"/>
      <c r="AE76" s="45"/>
      <c r="AH76" s="45"/>
      <c r="AI76" s="45"/>
      <c r="AJ76" s="45"/>
      <c r="AP76" s="45"/>
      <c r="AQ76" s="45"/>
      <c r="AR76" s="45"/>
      <c r="AU76" s="45"/>
      <c r="AV76" s="45"/>
      <c r="AW76" s="45"/>
      <c r="AZ76" s="45"/>
      <c r="BA76" s="45"/>
      <c r="BB76" s="45"/>
      <c r="BE76" s="45"/>
      <c r="BF76" s="45"/>
      <c r="BG76" s="45"/>
      <c r="BJ76" s="45"/>
      <c r="BK76" s="45"/>
      <c r="BL76" s="45"/>
      <c r="BR76" s="45"/>
      <c r="BS76" s="45"/>
      <c r="BT76" s="45"/>
      <c r="BW76" s="45"/>
      <c r="BX76" s="45"/>
      <c r="BY76" s="45"/>
      <c r="CB76" s="45"/>
      <c r="CC76" s="45"/>
      <c r="CD76" s="45"/>
      <c r="CG76" s="45"/>
      <c r="CH76" s="45"/>
      <c r="CI76" s="45"/>
      <c r="CL76" s="45"/>
      <c r="CM76" s="45"/>
      <c r="CN76" s="45"/>
      <c r="CT76" s="45"/>
      <c r="CU76" s="45"/>
      <c r="CV76" s="45"/>
      <c r="CY76" s="45"/>
      <c r="CZ76" s="45"/>
      <c r="DA76" s="45"/>
      <c r="DD76" s="45"/>
      <c r="DE76" s="45"/>
      <c r="DF76" s="45"/>
      <c r="DI76" s="45"/>
      <c r="DJ76" s="45"/>
      <c r="DK76" s="45"/>
      <c r="DN76" s="45"/>
      <c r="DO76" s="45"/>
      <c r="DP76" s="45"/>
      <c r="DV76" s="45"/>
      <c r="DW76" s="45"/>
      <c r="DX76" s="45"/>
      <c r="EA76" s="45"/>
      <c r="EB76" s="45"/>
      <c r="EC76" s="45"/>
      <c r="EF76" s="45"/>
      <c r="EG76" s="45"/>
      <c r="EH76" s="45"/>
      <c r="EK76" s="45"/>
      <c r="EL76" s="45"/>
      <c r="EM76" s="45"/>
      <c r="EP76" s="45"/>
      <c r="EQ76" s="45"/>
      <c r="ER76" s="45"/>
      <c r="EX76" s="45"/>
      <c r="EY76" s="45"/>
      <c r="EZ76" s="45"/>
      <c r="FC76" s="45"/>
      <c r="FD76" s="45"/>
      <c r="FE76" s="45"/>
      <c r="FH76" s="45"/>
      <c r="FI76" s="45"/>
      <c r="FJ76" s="45"/>
      <c r="FM76" s="45"/>
      <c r="FN76" s="45"/>
      <c r="FO76" s="45"/>
      <c r="FR76" s="45"/>
      <c r="FS76" s="45"/>
      <c r="FT76" s="45"/>
    </row>
    <row r="77" spans="14:176">
      <c r="N77" s="45"/>
      <c r="O77" s="45"/>
      <c r="P77" s="45"/>
      <c r="S77" s="45"/>
      <c r="T77" s="45"/>
      <c r="U77" s="45"/>
      <c r="X77" s="45"/>
      <c r="Y77" s="45"/>
      <c r="Z77" s="45"/>
      <c r="AC77" s="45"/>
      <c r="AD77" s="45"/>
      <c r="AE77" s="45"/>
      <c r="AH77" s="45"/>
      <c r="AI77" s="45"/>
      <c r="AJ77" s="45"/>
      <c r="AP77" s="45"/>
      <c r="AQ77" s="45"/>
      <c r="AR77" s="45"/>
      <c r="AU77" s="45"/>
      <c r="AV77" s="45"/>
      <c r="AW77" s="45"/>
      <c r="AZ77" s="45"/>
      <c r="BA77" s="45"/>
      <c r="BB77" s="45"/>
      <c r="BE77" s="45"/>
      <c r="BF77" s="45"/>
      <c r="BG77" s="45"/>
      <c r="BJ77" s="45"/>
      <c r="BK77" s="45"/>
      <c r="BL77" s="45"/>
      <c r="BR77" s="45"/>
      <c r="BS77" s="45"/>
      <c r="BT77" s="45"/>
      <c r="BW77" s="45"/>
      <c r="BX77" s="45"/>
      <c r="BY77" s="45"/>
      <c r="CB77" s="45"/>
      <c r="CC77" s="45"/>
      <c r="CD77" s="45"/>
      <c r="CG77" s="45"/>
      <c r="CH77" s="45"/>
      <c r="CI77" s="45"/>
      <c r="CL77" s="45"/>
      <c r="CM77" s="45"/>
      <c r="CN77" s="45"/>
      <c r="CT77" s="45"/>
      <c r="CU77" s="45"/>
      <c r="CV77" s="45"/>
      <c r="CY77" s="45"/>
      <c r="CZ77" s="45"/>
      <c r="DA77" s="45"/>
      <c r="DD77" s="45"/>
      <c r="DE77" s="45"/>
      <c r="DF77" s="45"/>
      <c r="DI77" s="45"/>
      <c r="DJ77" s="45"/>
      <c r="DK77" s="45"/>
      <c r="DN77" s="45"/>
      <c r="DO77" s="45"/>
      <c r="DP77" s="45"/>
      <c r="DV77" s="45"/>
      <c r="DW77" s="45"/>
      <c r="DX77" s="45"/>
      <c r="EA77" s="45"/>
      <c r="EB77" s="45"/>
      <c r="EC77" s="45"/>
      <c r="EF77" s="45"/>
      <c r="EG77" s="45"/>
      <c r="EH77" s="45"/>
      <c r="EK77" s="45"/>
      <c r="EL77" s="45"/>
      <c r="EM77" s="45"/>
      <c r="EP77" s="45"/>
      <c r="EQ77" s="45"/>
      <c r="ER77" s="45"/>
      <c r="EX77" s="45"/>
      <c r="EY77" s="45"/>
      <c r="EZ77" s="45"/>
      <c r="FC77" s="45"/>
      <c r="FD77" s="45"/>
      <c r="FE77" s="45"/>
      <c r="FH77" s="45"/>
      <c r="FI77" s="45"/>
      <c r="FJ77" s="45"/>
      <c r="FM77" s="45"/>
      <c r="FN77" s="45"/>
      <c r="FO77" s="45"/>
      <c r="FR77" s="45"/>
      <c r="FS77" s="45"/>
      <c r="FT77" s="45"/>
    </row>
    <row r="78" spans="14:176">
      <c r="N78" s="45"/>
      <c r="O78" s="45"/>
      <c r="P78" s="45"/>
      <c r="S78" s="45"/>
      <c r="T78" s="45"/>
      <c r="U78" s="45"/>
      <c r="X78" s="45"/>
      <c r="Y78" s="45"/>
      <c r="Z78" s="45"/>
      <c r="AC78" s="45"/>
      <c r="AD78" s="45"/>
      <c r="AE78" s="45"/>
      <c r="AH78" s="45"/>
      <c r="AI78" s="45"/>
      <c r="AJ78" s="45"/>
      <c r="AP78" s="45"/>
      <c r="AQ78" s="45"/>
      <c r="AR78" s="45"/>
      <c r="AU78" s="45"/>
      <c r="AV78" s="45"/>
      <c r="AW78" s="45"/>
      <c r="AZ78" s="45"/>
      <c r="BA78" s="45"/>
      <c r="BB78" s="45"/>
      <c r="BE78" s="45"/>
      <c r="BF78" s="45"/>
      <c r="BG78" s="45"/>
      <c r="BJ78" s="45"/>
      <c r="BK78" s="45"/>
      <c r="BL78" s="45"/>
      <c r="BR78" s="45"/>
      <c r="BS78" s="45"/>
      <c r="BT78" s="45"/>
      <c r="BW78" s="45"/>
      <c r="BX78" s="45"/>
      <c r="BY78" s="45"/>
      <c r="CB78" s="45"/>
      <c r="CC78" s="45"/>
      <c r="CD78" s="45"/>
      <c r="CG78" s="45"/>
      <c r="CH78" s="45"/>
      <c r="CI78" s="45"/>
      <c r="CL78" s="45"/>
      <c r="CM78" s="45"/>
      <c r="CN78" s="45"/>
      <c r="CT78" s="45"/>
      <c r="CU78" s="45"/>
      <c r="CV78" s="45"/>
      <c r="CY78" s="45"/>
      <c r="CZ78" s="45"/>
      <c r="DA78" s="45"/>
      <c r="DD78" s="45"/>
      <c r="DE78" s="45"/>
      <c r="DF78" s="45"/>
      <c r="DI78" s="45"/>
      <c r="DJ78" s="45"/>
      <c r="DK78" s="45"/>
      <c r="DN78" s="45"/>
      <c r="DO78" s="45"/>
      <c r="DP78" s="45"/>
      <c r="DV78" s="45"/>
      <c r="DW78" s="45"/>
      <c r="DX78" s="45"/>
      <c r="EA78" s="45"/>
      <c r="EB78" s="45"/>
      <c r="EC78" s="45"/>
      <c r="EF78" s="45"/>
      <c r="EG78" s="45"/>
      <c r="EH78" s="45"/>
      <c r="EK78" s="45"/>
      <c r="EL78" s="45"/>
      <c r="EM78" s="45"/>
      <c r="EP78" s="45"/>
      <c r="EQ78" s="45"/>
      <c r="ER78" s="45"/>
      <c r="EX78" s="45"/>
      <c r="EY78" s="45"/>
      <c r="EZ78" s="45"/>
      <c r="FC78" s="45"/>
      <c r="FD78" s="45"/>
      <c r="FE78" s="45"/>
      <c r="FH78" s="45"/>
      <c r="FI78" s="45"/>
      <c r="FJ78" s="45"/>
      <c r="FM78" s="45"/>
      <c r="FN78" s="45"/>
      <c r="FO78" s="45"/>
      <c r="FR78" s="45"/>
      <c r="FS78" s="45"/>
      <c r="FT78" s="45"/>
    </row>
    <row r="79" spans="14:176">
      <c r="N79" s="45"/>
      <c r="O79" s="45"/>
      <c r="P79" s="45"/>
      <c r="S79" s="45"/>
      <c r="T79" s="45"/>
      <c r="U79" s="45"/>
      <c r="X79" s="45"/>
      <c r="Y79" s="45"/>
      <c r="Z79" s="45"/>
      <c r="AC79" s="45"/>
      <c r="AD79" s="45"/>
      <c r="AE79" s="45"/>
      <c r="AH79" s="45"/>
      <c r="AI79" s="45"/>
      <c r="AJ79" s="45"/>
      <c r="AP79" s="45"/>
      <c r="AQ79" s="45"/>
      <c r="AR79" s="45"/>
      <c r="AU79" s="45"/>
      <c r="AV79" s="45"/>
      <c r="AW79" s="45"/>
      <c r="AZ79" s="45"/>
      <c r="BA79" s="45"/>
      <c r="BB79" s="45"/>
      <c r="BE79" s="45"/>
      <c r="BF79" s="45"/>
      <c r="BG79" s="45"/>
      <c r="BJ79" s="45"/>
      <c r="BK79" s="45"/>
      <c r="BL79" s="45"/>
      <c r="BR79" s="45"/>
      <c r="BS79" s="45"/>
      <c r="BT79" s="45"/>
      <c r="BW79" s="45"/>
      <c r="BX79" s="45"/>
      <c r="BY79" s="45"/>
      <c r="CB79" s="45"/>
      <c r="CC79" s="45"/>
      <c r="CD79" s="45"/>
      <c r="CG79" s="45"/>
      <c r="CH79" s="45"/>
      <c r="CI79" s="45"/>
      <c r="CL79" s="45"/>
      <c r="CM79" s="45"/>
      <c r="CN79" s="45"/>
      <c r="CT79" s="45"/>
      <c r="CU79" s="45"/>
      <c r="CV79" s="45"/>
      <c r="CY79" s="45"/>
      <c r="CZ79" s="45"/>
      <c r="DA79" s="45"/>
      <c r="DD79" s="45"/>
      <c r="DE79" s="45"/>
      <c r="DF79" s="45"/>
      <c r="DI79" s="45"/>
      <c r="DJ79" s="45"/>
      <c r="DK79" s="45"/>
      <c r="DN79" s="45"/>
      <c r="DO79" s="45"/>
      <c r="DP79" s="45"/>
      <c r="DV79" s="45"/>
      <c r="DW79" s="45"/>
      <c r="DX79" s="45"/>
      <c r="EA79" s="45"/>
      <c r="EB79" s="45"/>
      <c r="EC79" s="45"/>
      <c r="EF79" s="45"/>
      <c r="EG79" s="45"/>
      <c r="EH79" s="45"/>
      <c r="EK79" s="45"/>
      <c r="EL79" s="45"/>
      <c r="EM79" s="45"/>
      <c r="EP79" s="45"/>
      <c r="EQ79" s="45"/>
      <c r="ER79" s="45"/>
      <c r="EX79" s="45"/>
      <c r="EY79" s="45"/>
      <c r="EZ79" s="45"/>
      <c r="FC79" s="45"/>
      <c r="FD79" s="45"/>
      <c r="FE79" s="45"/>
      <c r="FH79" s="45"/>
      <c r="FI79" s="45"/>
      <c r="FJ79" s="45"/>
      <c r="FM79" s="45"/>
      <c r="FN79" s="45"/>
      <c r="FO79" s="45"/>
      <c r="FR79" s="45"/>
      <c r="FS79" s="45"/>
      <c r="FT79" s="45"/>
    </row>
    <row r="80" spans="14:176">
      <c r="N80" s="45"/>
      <c r="O80" s="45"/>
      <c r="P80" s="45"/>
      <c r="S80" s="45"/>
      <c r="T80" s="45"/>
      <c r="U80" s="45"/>
      <c r="X80" s="45"/>
      <c r="Y80" s="45"/>
      <c r="Z80" s="45"/>
      <c r="AC80" s="45"/>
      <c r="AD80" s="45"/>
      <c r="AE80" s="45"/>
      <c r="AH80" s="45"/>
      <c r="AI80" s="45"/>
      <c r="AJ80" s="45"/>
      <c r="AP80" s="45"/>
      <c r="AQ80" s="45"/>
      <c r="AR80" s="45"/>
      <c r="AU80" s="45"/>
      <c r="AV80" s="45"/>
      <c r="AW80" s="45"/>
      <c r="AZ80" s="45"/>
      <c r="BA80" s="45"/>
      <c r="BB80" s="45"/>
      <c r="BE80" s="45"/>
      <c r="BF80" s="45"/>
      <c r="BG80" s="45"/>
      <c r="BJ80" s="45"/>
      <c r="BK80" s="45"/>
      <c r="BL80" s="45"/>
      <c r="BR80" s="45"/>
      <c r="BS80" s="45"/>
      <c r="BT80" s="45"/>
      <c r="BW80" s="45"/>
      <c r="BX80" s="45"/>
      <c r="BY80" s="45"/>
      <c r="CB80" s="45"/>
      <c r="CC80" s="45"/>
      <c r="CD80" s="45"/>
      <c r="CG80" s="45"/>
      <c r="CH80" s="45"/>
      <c r="CI80" s="45"/>
      <c r="CL80" s="45"/>
      <c r="CM80" s="45"/>
      <c r="CN80" s="45"/>
      <c r="CT80" s="45"/>
      <c r="CU80" s="45"/>
      <c r="CV80" s="45"/>
      <c r="CY80" s="45"/>
      <c r="CZ80" s="45"/>
      <c r="DA80" s="45"/>
      <c r="DD80" s="45"/>
      <c r="DE80" s="45"/>
      <c r="DF80" s="45"/>
      <c r="DI80" s="45"/>
      <c r="DJ80" s="45"/>
      <c r="DK80" s="45"/>
      <c r="DN80" s="45"/>
      <c r="DO80" s="45"/>
      <c r="DP80" s="45"/>
      <c r="DV80" s="45"/>
      <c r="DW80" s="45"/>
      <c r="DX80" s="45"/>
      <c r="EA80" s="45"/>
      <c r="EB80" s="45"/>
      <c r="EC80" s="45"/>
      <c r="EF80" s="45"/>
      <c r="EG80" s="45"/>
      <c r="EH80" s="45"/>
      <c r="EK80" s="45"/>
      <c r="EL80" s="45"/>
      <c r="EM80" s="45"/>
      <c r="EP80" s="45"/>
      <c r="EQ80" s="45"/>
      <c r="ER80" s="45"/>
      <c r="EX80" s="45"/>
      <c r="EY80" s="45"/>
      <c r="EZ80" s="45"/>
      <c r="FC80" s="45"/>
      <c r="FD80" s="45"/>
      <c r="FE80" s="45"/>
      <c r="FH80" s="45"/>
      <c r="FI80" s="45"/>
      <c r="FJ80" s="45"/>
      <c r="FM80" s="45"/>
      <c r="FN80" s="45"/>
      <c r="FO80" s="45"/>
      <c r="FR80" s="45"/>
      <c r="FS80" s="45"/>
      <c r="FT80" s="45"/>
    </row>
    <row r="81" spans="14:176">
      <c r="N81" s="45"/>
      <c r="O81" s="45"/>
      <c r="P81" s="45"/>
      <c r="S81" s="45"/>
      <c r="T81" s="45"/>
      <c r="U81" s="45"/>
      <c r="X81" s="45"/>
      <c r="Y81" s="45"/>
      <c r="Z81" s="45"/>
      <c r="AC81" s="45"/>
      <c r="AD81" s="45"/>
      <c r="AE81" s="45"/>
      <c r="AH81" s="45"/>
      <c r="AI81" s="45"/>
      <c r="AJ81" s="45"/>
      <c r="AP81" s="45"/>
      <c r="AQ81" s="45"/>
      <c r="AR81" s="45"/>
      <c r="AU81" s="45"/>
      <c r="AV81" s="45"/>
      <c r="AW81" s="45"/>
      <c r="AZ81" s="45"/>
      <c r="BA81" s="45"/>
      <c r="BB81" s="45"/>
      <c r="BE81" s="45"/>
      <c r="BF81" s="45"/>
      <c r="BG81" s="45"/>
      <c r="BJ81" s="45"/>
      <c r="BK81" s="45"/>
      <c r="BL81" s="45"/>
      <c r="BR81" s="45"/>
      <c r="BS81" s="45"/>
      <c r="BT81" s="45"/>
      <c r="BW81" s="45"/>
      <c r="BX81" s="45"/>
      <c r="BY81" s="45"/>
      <c r="CB81" s="45"/>
      <c r="CC81" s="45"/>
      <c r="CD81" s="45"/>
      <c r="CG81" s="45"/>
      <c r="CH81" s="45"/>
      <c r="CI81" s="45"/>
      <c r="CL81" s="45"/>
      <c r="CM81" s="45"/>
      <c r="CN81" s="45"/>
      <c r="CT81" s="45"/>
      <c r="CU81" s="45"/>
      <c r="CV81" s="45"/>
      <c r="CY81" s="45"/>
      <c r="CZ81" s="45"/>
      <c r="DA81" s="45"/>
      <c r="DD81" s="45"/>
      <c r="DE81" s="45"/>
      <c r="DF81" s="45"/>
      <c r="DI81" s="45"/>
      <c r="DJ81" s="45"/>
      <c r="DK81" s="45"/>
      <c r="DN81" s="45"/>
      <c r="DO81" s="45"/>
      <c r="DP81" s="45"/>
      <c r="DV81" s="45"/>
      <c r="DW81" s="45"/>
      <c r="DX81" s="45"/>
      <c r="EA81" s="45"/>
      <c r="EB81" s="45"/>
      <c r="EC81" s="45"/>
      <c r="EF81" s="45"/>
      <c r="EG81" s="45"/>
      <c r="EH81" s="45"/>
      <c r="EK81" s="45"/>
      <c r="EL81" s="45"/>
      <c r="EM81" s="45"/>
      <c r="EP81" s="45"/>
      <c r="EQ81" s="45"/>
      <c r="ER81" s="45"/>
      <c r="EX81" s="45"/>
      <c r="EY81" s="45"/>
      <c r="EZ81" s="45"/>
      <c r="FC81" s="45"/>
      <c r="FD81" s="45"/>
      <c r="FE81" s="45"/>
      <c r="FH81" s="45"/>
      <c r="FI81" s="45"/>
      <c r="FJ81" s="45"/>
      <c r="FM81" s="45"/>
      <c r="FN81" s="45"/>
      <c r="FO81" s="45"/>
      <c r="FR81" s="45"/>
      <c r="FS81" s="45"/>
      <c r="FT81" s="45"/>
    </row>
    <row r="82" spans="14:176">
      <c r="N82" s="45"/>
      <c r="O82" s="45"/>
      <c r="P82" s="45"/>
      <c r="S82" s="45"/>
      <c r="T82" s="45"/>
      <c r="U82" s="45"/>
      <c r="X82" s="45"/>
      <c r="Y82" s="45"/>
      <c r="Z82" s="45"/>
      <c r="AC82" s="45"/>
      <c r="AD82" s="45"/>
      <c r="AE82" s="45"/>
      <c r="AH82" s="45"/>
      <c r="AI82" s="45"/>
      <c r="AJ82" s="45"/>
      <c r="AP82" s="45"/>
      <c r="AQ82" s="45"/>
      <c r="AR82" s="45"/>
      <c r="AU82" s="45"/>
      <c r="AV82" s="45"/>
      <c r="AW82" s="45"/>
      <c r="AZ82" s="45"/>
      <c r="BA82" s="45"/>
      <c r="BB82" s="45"/>
      <c r="BE82" s="45"/>
      <c r="BF82" s="45"/>
      <c r="BG82" s="45"/>
      <c r="BJ82" s="45"/>
      <c r="BK82" s="45"/>
      <c r="BL82" s="45"/>
      <c r="BR82" s="45"/>
      <c r="BS82" s="45"/>
      <c r="BT82" s="45"/>
      <c r="BW82" s="45"/>
      <c r="BX82" s="45"/>
      <c r="BY82" s="45"/>
      <c r="CB82" s="45"/>
      <c r="CC82" s="45"/>
      <c r="CD82" s="45"/>
      <c r="CG82" s="45"/>
      <c r="CH82" s="45"/>
      <c r="CI82" s="45"/>
      <c r="CL82" s="45"/>
      <c r="CM82" s="45"/>
      <c r="CN82" s="45"/>
      <c r="CT82" s="45"/>
      <c r="CU82" s="45"/>
      <c r="CV82" s="45"/>
      <c r="CY82" s="45"/>
      <c r="CZ82" s="45"/>
      <c r="DA82" s="45"/>
      <c r="DD82" s="45"/>
      <c r="DE82" s="45"/>
      <c r="DF82" s="45"/>
      <c r="DI82" s="45"/>
      <c r="DJ82" s="45"/>
      <c r="DK82" s="45"/>
      <c r="DN82" s="45"/>
      <c r="DO82" s="45"/>
      <c r="DP82" s="45"/>
      <c r="DV82" s="45"/>
      <c r="DW82" s="45"/>
      <c r="DX82" s="45"/>
      <c r="EA82" s="45"/>
      <c r="EB82" s="45"/>
      <c r="EC82" s="45"/>
      <c r="EF82" s="45"/>
      <c r="EG82" s="45"/>
      <c r="EH82" s="45"/>
      <c r="EK82" s="45"/>
      <c r="EL82" s="45"/>
      <c r="EM82" s="45"/>
      <c r="EP82" s="45"/>
      <c r="EQ82" s="45"/>
      <c r="ER82" s="45"/>
      <c r="EX82" s="45"/>
      <c r="EY82" s="45"/>
      <c r="EZ82" s="45"/>
      <c r="FC82" s="45"/>
      <c r="FD82" s="45"/>
      <c r="FE82" s="45"/>
      <c r="FH82" s="45"/>
      <c r="FI82" s="45"/>
      <c r="FJ82" s="45"/>
      <c r="FM82" s="45"/>
      <c r="FN82" s="45"/>
      <c r="FO82" s="45"/>
      <c r="FR82" s="45"/>
      <c r="FS82" s="45"/>
      <c r="FT82" s="45"/>
    </row>
    <row r="83" spans="14:176">
      <c r="N83" s="45"/>
      <c r="O83" s="45"/>
      <c r="P83" s="45"/>
      <c r="S83" s="45"/>
      <c r="T83" s="45"/>
      <c r="U83" s="45"/>
      <c r="X83" s="45"/>
      <c r="Y83" s="45"/>
      <c r="Z83" s="45"/>
      <c r="AC83" s="45"/>
      <c r="AD83" s="45"/>
      <c r="AE83" s="45"/>
      <c r="AH83" s="45"/>
      <c r="AI83" s="45"/>
      <c r="AJ83" s="45"/>
      <c r="AP83" s="45"/>
      <c r="AQ83" s="45"/>
      <c r="AR83" s="45"/>
      <c r="AU83" s="45"/>
      <c r="AV83" s="45"/>
      <c r="AW83" s="45"/>
      <c r="AZ83" s="45"/>
      <c r="BA83" s="45"/>
      <c r="BB83" s="45"/>
      <c r="BE83" s="45"/>
      <c r="BF83" s="45"/>
      <c r="BG83" s="45"/>
      <c r="BJ83" s="45"/>
      <c r="BK83" s="45"/>
      <c r="BL83" s="45"/>
      <c r="BR83" s="45"/>
      <c r="BS83" s="45"/>
      <c r="BT83" s="45"/>
      <c r="BW83" s="45"/>
      <c r="BX83" s="45"/>
      <c r="BY83" s="45"/>
      <c r="CB83" s="45"/>
      <c r="CC83" s="45"/>
      <c r="CD83" s="45"/>
      <c r="CG83" s="45"/>
      <c r="CH83" s="45"/>
      <c r="CI83" s="45"/>
      <c r="CL83" s="45"/>
      <c r="CM83" s="45"/>
      <c r="CN83" s="45"/>
      <c r="CT83" s="45"/>
      <c r="CU83" s="45"/>
      <c r="CV83" s="45"/>
      <c r="CY83" s="45"/>
      <c r="CZ83" s="45"/>
      <c r="DA83" s="45"/>
      <c r="DD83" s="45"/>
      <c r="DE83" s="45"/>
      <c r="DF83" s="45"/>
      <c r="DI83" s="45"/>
      <c r="DJ83" s="45"/>
      <c r="DK83" s="45"/>
      <c r="DN83" s="45"/>
      <c r="DO83" s="45"/>
      <c r="DP83" s="45"/>
      <c r="DV83" s="45"/>
      <c r="DW83" s="45"/>
      <c r="DX83" s="45"/>
      <c r="EA83" s="45"/>
      <c r="EB83" s="45"/>
      <c r="EC83" s="45"/>
      <c r="EF83" s="45"/>
      <c r="EG83" s="45"/>
      <c r="EH83" s="45"/>
      <c r="EK83" s="45"/>
      <c r="EL83" s="45"/>
      <c r="EM83" s="45"/>
      <c r="EP83" s="45"/>
      <c r="EQ83" s="45"/>
      <c r="ER83" s="45"/>
      <c r="EX83" s="45"/>
      <c r="EY83" s="45"/>
      <c r="EZ83" s="45"/>
      <c r="FC83" s="45"/>
      <c r="FD83" s="45"/>
      <c r="FE83" s="45"/>
      <c r="FH83" s="45"/>
      <c r="FI83" s="45"/>
      <c r="FJ83" s="45"/>
      <c r="FM83" s="45"/>
      <c r="FN83" s="45"/>
      <c r="FO83" s="45"/>
      <c r="FR83" s="45"/>
      <c r="FS83" s="45"/>
      <c r="FT83" s="45"/>
    </row>
    <row r="84" spans="14:176">
      <c r="N84" s="45"/>
      <c r="O84" s="45"/>
      <c r="P84" s="45"/>
      <c r="S84" s="45"/>
      <c r="T84" s="45"/>
      <c r="U84" s="45"/>
      <c r="X84" s="45"/>
      <c r="Y84" s="45"/>
      <c r="Z84" s="45"/>
      <c r="AC84" s="45"/>
      <c r="AD84" s="45"/>
      <c r="AE84" s="45"/>
      <c r="AH84" s="45"/>
      <c r="AI84" s="45"/>
      <c r="AJ84" s="45"/>
      <c r="AP84" s="45"/>
      <c r="AQ84" s="45"/>
      <c r="AR84" s="45"/>
      <c r="AU84" s="45"/>
      <c r="AV84" s="45"/>
      <c r="AW84" s="45"/>
      <c r="AZ84" s="45"/>
      <c r="BA84" s="45"/>
      <c r="BB84" s="45"/>
      <c r="BE84" s="45"/>
      <c r="BF84" s="45"/>
      <c r="BG84" s="45"/>
      <c r="BJ84" s="45"/>
      <c r="BK84" s="45"/>
      <c r="BL84" s="45"/>
      <c r="BR84" s="45"/>
      <c r="BS84" s="45"/>
      <c r="BT84" s="45"/>
      <c r="BW84" s="45"/>
      <c r="BX84" s="45"/>
      <c r="BY84" s="45"/>
      <c r="CB84" s="45"/>
      <c r="CC84" s="45"/>
      <c r="CD84" s="45"/>
      <c r="CG84" s="45"/>
      <c r="CH84" s="45"/>
      <c r="CI84" s="45"/>
      <c r="CL84" s="45"/>
      <c r="CM84" s="45"/>
      <c r="CN84" s="45"/>
      <c r="CT84" s="45"/>
      <c r="CU84" s="45"/>
      <c r="CV84" s="45"/>
      <c r="CY84" s="45"/>
      <c r="CZ84" s="45"/>
      <c r="DA84" s="45"/>
      <c r="DD84" s="45"/>
      <c r="DE84" s="45"/>
      <c r="DF84" s="45"/>
      <c r="DI84" s="45"/>
      <c r="DJ84" s="45"/>
      <c r="DK84" s="45"/>
      <c r="DN84" s="45"/>
      <c r="DO84" s="45"/>
      <c r="DP84" s="45"/>
      <c r="DV84" s="45"/>
      <c r="DW84" s="45"/>
      <c r="DX84" s="45"/>
      <c r="EA84" s="45"/>
      <c r="EB84" s="45"/>
      <c r="EC84" s="45"/>
      <c r="EF84" s="45"/>
      <c r="EG84" s="45"/>
      <c r="EH84" s="45"/>
      <c r="EK84" s="45"/>
      <c r="EL84" s="45"/>
      <c r="EM84" s="45"/>
      <c r="EP84" s="45"/>
      <c r="EQ84" s="45"/>
      <c r="ER84" s="45"/>
      <c r="EX84" s="45"/>
      <c r="EY84" s="45"/>
      <c r="EZ84" s="45"/>
      <c r="FC84" s="45"/>
      <c r="FD84" s="45"/>
      <c r="FE84" s="45"/>
      <c r="FH84" s="45"/>
      <c r="FI84" s="45"/>
      <c r="FJ84" s="45"/>
      <c r="FM84" s="45"/>
      <c r="FN84" s="45"/>
      <c r="FO84" s="45"/>
      <c r="FR84" s="45"/>
      <c r="FS84" s="45"/>
      <c r="FT84" s="45"/>
    </row>
    <row r="85" spans="14:176">
      <c r="N85" s="45"/>
      <c r="O85" s="45"/>
      <c r="P85" s="45"/>
      <c r="S85" s="45"/>
      <c r="T85" s="45"/>
      <c r="U85" s="45"/>
      <c r="X85" s="45"/>
      <c r="Y85" s="45"/>
      <c r="Z85" s="45"/>
      <c r="AC85" s="45"/>
      <c r="AD85" s="45"/>
      <c r="AE85" s="45"/>
      <c r="AH85" s="45"/>
      <c r="AI85" s="45"/>
      <c r="AJ85" s="45"/>
      <c r="AP85" s="45"/>
      <c r="AQ85" s="45"/>
      <c r="AR85" s="45"/>
      <c r="AU85" s="45"/>
      <c r="AV85" s="45"/>
      <c r="AW85" s="45"/>
      <c r="AZ85" s="45"/>
      <c r="BA85" s="45"/>
      <c r="BB85" s="45"/>
      <c r="BE85" s="45"/>
      <c r="BF85" s="45"/>
      <c r="BG85" s="45"/>
      <c r="BJ85" s="45"/>
      <c r="BK85" s="45"/>
      <c r="BL85" s="45"/>
      <c r="BR85" s="45"/>
      <c r="BS85" s="45"/>
      <c r="BT85" s="45"/>
      <c r="BW85" s="45"/>
      <c r="BX85" s="45"/>
      <c r="BY85" s="45"/>
      <c r="CB85" s="45"/>
      <c r="CC85" s="45"/>
      <c r="CD85" s="45"/>
      <c r="CG85" s="45"/>
      <c r="CH85" s="45"/>
      <c r="CI85" s="45"/>
      <c r="CL85" s="45"/>
      <c r="CM85" s="45"/>
      <c r="CN85" s="45"/>
      <c r="CT85" s="45"/>
      <c r="CU85" s="45"/>
      <c r="CV85" s="45"/>
      <c r="CY85" s="45"/>
      <c r="CZ85" s="45"/>
      <c r="DA85" s="45"/>
      <c r="DD85" s="45"/>
      <c r="DE85" s="45"/>
      <c r="DF85" s="45"/>
      <c r="DI85" s="45"/>
      <c r="DJ85" s="45"/>
      <c r="DK85" s="45"/>
      <c r="DN85" s="45"/>
      <c r="DO85" s="45"/>
      <c r="DP85" s="45"/>
      <c r="DV85" s="45"/>
      <c r="DW85" s="45"/>
      <c r="DX85" s="45"/>
      <c r="EA85" s="45"/>
      <c r="EB85" s="45"/>
      <c r="EC85" s="45"/>
      <c r="EF85" s="45"/>
      <c r="EG85" s="45"/>
      <c r="EH85" s="45"/>
      <c r="EK85" s="45"/>
      <c r="EL85" s="45"/>
      <c r="EM85" s="45"/>
      <c r="EP85" s="45"/>
      <c r="EQ85" s="45"/>
      <c r="ER85" s="45"/>
      <c r="EX85" s="45"/>
      <c r="EY85" s="45"/>
      <c r="EZ85" s="45"/>
      <c r="FC85" s="45"/>
      <c r="FD85" s="45"/>
      <c r="FE85" s="45"/>
      <c r="FH85" s="45"/>
      <c r="FI85" s="45"/>
      <c r="FJ85" s="45"/>
      <c r="FM85" s="45"/>
      <c r="FN85" s="45"/>
      <c r="FO85" s="45"/>
      <c r="FR85" s="45"/>
      <c r="FS85" s="45"/>
      <c r="FT85" s="45"/>
    </row>
    <row r="86" spans="14:176">
      <c r="N86" s="45"/>
      <c r="O86" s="45"/>
      <c r="P86" s="45"/>
      <c r="S86" s="45"/>
      <c r="T86" s="45"/>
      <c r="U86" s="45"/>
      <c r="X86" s="45"/>
      <c r="Y86" s="45"/>
      <c r="Z86" s="45"/>
      <c r="AC86" s="45"/>
      <c r="AD86" s="45"/>
      <c r="AE86" s="45"/>
      <c r="AH86" s="45"/>
      <c r="AI86" s="45"/>
      <c r="AJ86" s="45"/>
      <c r="AP86" s="45"/>
      <c r="AQ86" s="45"/>
      <c r="AR86" s="45"/>
      <c r="AU86" s="45"/>
      <c r="AV86" s="45"/>
      <c r="AW86" s="45"/>
      <c r="AZ86" s="45"/>
      <c r="BA86" s="45"/>
      <c r="BB86" s="45"/>
      <c r="BE86" s="45"/>
      <c r="BF86" s="45"/>
      <c r="BG86" s="45"/>
      <c r="BJ86" s="45"/>
      <c r="BK86" s="45"/>
      <c r="BL86" s="45"/>
      <c r="BR86" s="45"/>
      <c r="BS86" s="45"/>
      <c r="BT86" s="45"/>
      <c r="BW86" s="45"/>
      <c r="BX86" s="45"/>
      <c r="BY86" s="45"/>
      <c r="CB86" s="45"/>
      <c r="CC86" s="45"/>
      <c r="CD86" s="45"/>
      <c r="CG86" s="45"/>
      <c r="CH86" s="45"/>
      <c r="CI86" s="45"/>
      <c r="CL86" s="45"/>
      <c r="CM86" s="45"/>
      <c r="CN86" s="45"/>
      <c r="CT86" s="45"/>
      <c r="CU86" s="45"/>
      <c r="CV86" s="45"/>
      <c r="CY86" s="45"/>
      <c r="CZ86" s="45"/>
      <c r="DA86" s="45"/>
      <c r="DD86" s="45"/>
      <c r="DE86" s="45"/>
      <c r="DF86" s="45"/>
      <c r="DI86" s="45"/>
      <c r="DJ86" s="45"/>
      <c r="DK86" s="45"/>
      <c r="DN86" s="45"/>
      <c r="DO86" s="45"/>
      <c r="DP86" s="45"/>
      <c r="DV86" s="45"/>
      <c r="DW86" s="45"/>
      <c r="DX86" s="45"/>
      <c r="EA86" s="45"/>
      <c r="EB86" s="45"/>
      <c r="EC86" s="45"/>
      <c r="EF86" s="45"/>
      <c r="EG86" s="45"/>
      <c r="EH86" s="45"/>
      <c r="EK86" s="45"/>
      <c r="EL86" s="45"/>
      <c r="EM86" s="45"/>
      <c r="EP86" s="45"/>
      <c r="EQ86" s="45"/>
      <c r="ER86" s="45"/>
      <c r="EX86" s="45"/>
      <c r="EY86" s="45"/>
      <c r="EZ86" s="45"/>
      <c r="FC86" s="45"/>
      <c r="FD86" s="45"/>
      <c r="FE86" s="45"/>
      <c r="FH86" s="45"/>
      <c r="FI86" s="45"/>
      <c r="FJ86" s="45"/>
      <c r="FM86" s="45"/>
      <c r="FN86" s="45"/>
      <c r="FO86" s="45"/>
      <c r="FR86" s="45"/>
      <c r="FS86" s="45"/>
      <c r="FT86" s="45"/>
    </row>
    <row r="87" spans="14:176">
      <c r="N87" s="45"/>
      <c r="O87" s="45"/>
      <c r="P87" s="45"/>
      <c r="S87" s="45"/>
      <c r="T87" s="45"/>
      <c r="U87" s="45"/>
      <c r="X87" s="45"/>
      <c r="Y87" s="45"/>
      <c r="Z87" s="45"/>
      <c r="AC87" s="45"/>
      <c r="AD87" s="45"/>
      <c r="AE87" s="45"/>
      <c r="AH87" s="45"/>
      <c r="AI87" s="45"/>
      <c r="AJ87" s="45"/>
      <c r="AP87" s="45"/>
      <c r="AQ87" s="45"/>
      <c r="AR87" s="45"/>
      <c r="AU87" s="45"/>
      <c r="AV87" s="45"/>
      <c r="AW87" s="45"/>
      <c r="AZ87" s="45"/>
      <c r="BA87" s="45"/>
      <c r="BB87" s="45"/>
      <c r="BE87" s="45"/>
      <c r="BF87" s="45"/>
      <c r="BG87" s="45"/>
      <c r="BJ87" s="45"/>
      <c r="BK87" s="45"/>
      <c r="BL87" s="45"/>
      <c r="BR87" s="45"/>
      <c r="BS87" s="45"/>
      <c r="BT87" s="45"/>
      <c r="BW87" s="45"/>
      <c r="BX87" s="45"/>
      <c r="BY87" s="45"/>
      <c r="CB87" s="45"/>
      <c r="CC87" s="45"/>
      <c r="CD87" s="45"/>
      <c r="CG87" s="45"/>
      <c r="CH87" s="45"/>
      <c r="CI87" s="45"/>
      <c r="CL87" s="45"/>
      <c r="CM87" s="45"/>
      <c r="CN87" s="45"/>
      <c r="CT87" s="45"/>
      <c r="CU87" s="45"/>
      <c r="CV87" s="45"/>
      <c r="CY87" s="45"/>
      <c r="CZ87" s="45"/>
      <c r="DA87" s="45"/>
      <c r="DD87" s="45"/>
      <c r="DE87" s="45"/>
      <c r="DF87" s="45"/>
      <c r="DI87" s="45"/>
      <c r="DJ87" s="45"/>
      <c r="DK87" s="45"/>
      <c r="DN87" s="45"/>
      <c r="DO87" s="45"/>
      <c r="DP87" s="45"/>
      <c r="DV87" s="45"/>
      <c r="DW87" s="45"/>
      <c r="DX87" s="45"/>
      <c r="EA87" s="45"/>
      <c r="EB87" s="45"/>
      <c r="EC87" s="45"/>
      <c r="EF87" s="45"/>
      <c r="EG87" s="45"/>
      <c r="EH87" s="45"/>
      <c r="EK87" s="45"/>
      <c r="EL87" s="45"/>
      <c r="EM87" s="45"/>
      <c r="EP87" s="45"/>
      <c r="EQ87" s="45"/>
      <c r="ER87" s="45"/>
      <c r="EX87" s="45"/>
      <c r="EY87" s="45"/>
      <c r="EZ87" s="45"/>
      <c r="FC87" s="45"/>
      <c r="FD87" s="45"/>
      <c r="FE87" s="45"/>
      <c r="FH87" s="45"/>
      <c r="FI87" s="45"/>
      <c r="FJ87" s="45"/>
      <c r="FM87" s="45"/>
      <c r="FN87" s="45"/>
      <c r="FO87" s="45"/>
      <c r="FR87" s="45"/>
      <c r="FS87" s="45"/>
      <c r="FT87" s="45"/>
    </row>
    <row r="88" spans="14:176">
      <c r="N88" s="45"/>
      <c r="O88" s="45"/>
      <c r="P88" s="45"/>
      <c r="S88" s="45"/>
      <c r="T88" s="45"/>
      <c r="U88" s="45"/>
      <c r="X88" s="45"/>
      <c r="Y88" s="45"/>
      <c r="Z88" s="45"/>
      <c r="AC88" s="45"/>
      <c r="AD88" s="45"/>
      <c r="AE88" s="45"/>
      <c r="AH88" s="45"/>
      <c r="AI88" s="45"/>
      <c r="AJ88" s="45"/>
      <c r="AP88" s="45"/>
      <c r="AQ88" s="45"/>
      <c r="AR88" s="45"/>
      <c r="AU88" s="45"/>
      <c r="AV88" s="45"/>
      <c r="AW88" s="45"/>
      <c r="AZ88" s="45"/>
      <c r="BA88" s="45"/>
      <c r="BB88" s="45"/>
      <c r="BE88" s="45"/>
      <c r="BF88" s="45"/>
      <c r="BG88" s="45"/>
      <c r="BJ88" s="45"/>
      <c r="BK88" s="45"/>
      <c r="BL88" s="45"/>
      <c r="BR88" s="45"/>
      <c r="BS88" s="45"/>
      <c r="BT88" s="45"/>
      <c r="BW88" s="45"/>
      <c r="BX88" s="45"/>
      <c r="BY88" s="45"/>
      <c r="CB88" s="45"/>
      <c r="CC88" s="45"/>
      <c r="CD88" s="45"/>
      <c r="CG88" s="45"/>
      <c r="CH88" s="45"/>
      <c r="CI88" s="45"/>
      <c r="CL88" s="45"/>
      <c r="CM88" s="45"/>
      <c r="CN88" s="45"/>
      <c r="CT88" s="45"/>
      <c r="CU88" s="45"/>
      <c r="CV88" s="45"/>
      <c r="CY88" s="45"/>
      <c r="CZ88" s="45"/>
      <c r="DA88" s="45"/>
      <c r="DD88" s="45"/>
      <c r="DE88" s="45"/>
      <c r="DF88" s="45"/>
      <c r="DI88" s="45"/>
      <c r="DJ88" s="45"/>
      <c r="DK88" s="45"/>
      <c r="DN88" s="45"/>
      <c r="DO88" s="45"/>
      <c r="DP88" s="45"/>
      <c r="DV88" s="45"/>
      <c r="DW88" s="45"/>
      <c r="DX88" s="45"/>
      <c r="EA88" s="45"/>
      <c r="EB88" s="45"/>
      <c r="EC88" s="45"/>
      <c r="EF88" s="45"/>
      <c r="EG88" s="45"/>
      <c r="EH88" s="45"/>
      <c r="EK88" s="45"/>
      <c r="EL88" s="45"/>
      <c r="EM88" s="45"/>
      <c r="EP88" s="45"/>
      <c r="EQ88" s="45"/>
      <c r="ER88" s="45"/>
      <c r="EX88" s="45"/>
      <c r="EY88" s="45"/>
      <c r="EZ88" s="45"/>
      <c r="FC88" s="45"/>
      <c r="FD88" s="45"/>
      <c r="FE88" s="45"/>
      <c r="FH88" s="45"/>
      <c r="FI88" s="45"/>
      <c r="FJ88" s="45"/>
      <c r="FM88" s="45"/>
      <c r="FN88" s="45"/>
      <c r="FO88" s="45"/>
      <c r="FR88" s="45"/>
      <c r="FS88" s="45"/>
      <c r="FT88" s="45"/>
    </row>
    <row r="89" spans="14:176">
      <c r="N89" s="45"/>
      <c r="O89" s="45"/>
      <c r="P89" s="45"/>
      <c r="S89" s="45"/>
      <c r="T89" s="45"/>
      <c r="U89" s="45"/>
      <c r="X89" s="45"/>
      <c r="Y89" s="45"/>
      <c r="Z89" s="45"/>
      <c r="AC89" s="45"/>
      <c r="AD89" s="45"/>
      <c r="AE89" s="45"/>
      <c r="AH89" s="45"/>
      <c r="AI89" s="45"/>
      <c r="AJ89" s="45"/>
      <c r="AP89" s="45"/>
      <c r="AQ89" s="45"/>
      <c r="AR89" s="45"/>
      <c r="AU89" s="45"/>
      <c r="AV89" s="45"/>
      <c r="AW89" s="45"/>
      <c r="AZ89" s="45"/>
      <c r="BA89" s="45"/>
      <c r="BB89" s="45"/>
      <c r="BE89" s="45"/>
      <c r="BF89" s="45"/>
      <c r="BG89" s="45"/>
      <c r="BJ89" s="45"/>
      <c r="BK89" s="45"/>
      <c r="BL89" s="45"/>
      <c r="BR89" s="45"/>
      <c r="BS89" s="45"/>
      <c r="BT89" s="45"/>
      <c r="BW89" s="45"/>
      <c r="BX89" s="45"/>
      <c r="BY89" s="45"/>
      <c r="CB89" s="45"/>
      <c r="CC89" s="45"/>
      <c r="CD89" s="45"/>
      <c r="CG89" s="45"/>
      <c r="CH89" s="45"/>
      <c r="CI89" s="45"/>
      <c r="CL89" s="45"/>
      <c r="CM89" s="45"/>
      <c r="CN89" s="45"/>
      <c r="CT89" s="45"/>
      <c r="CU89" s="45"/>
      <c r="CV89" s="45"/>
      <c r="CY89" s="45"/>
      <c r="CZ89" s="45"/>
      <c r="DA89" s="45"/>
      <c r="DD89" s="45"/>
      <c r="DE89" s="45"/>
      <c r="DF89" s="45"/>
      <c r="DI89" s="45"/>
      <c r="DJ89" s="45"/>
      <c r="DK89" s="45"/>
      <c r="DN89" s="45"/>
      <c r="DO89" s="45"/>
      <c r="DP89" s="45"/>
      <c r="DV89" s="45"/>
      <c r="DW89" s="45"/>
      <c r="DX89" s="45"/>
      <c r="EA89" s="45"/>
      <c r="EB89" s="45"/>
      <c r="EC89" s="45"/>
      <c r="EF89" s="45"/>
      <c r="EG89" s="45"/>
      <c r="EH89" s="45"/>
      <c r="EK89" s="45"/>
      <c r="EL89" s="45"/>
      <c r="EM89" s="45"/>
      <c r="EP89" s="45"/>
      <c r="EQ89" s="45"/>
      <c r="ER89" s="45"/>
      <c r="EX89" s="45"/>
      <c r="EY89" s="45"/>
      <c r="EZ89" s="45"/>
      <c r="FC89" s="45"/>
      <c r="FD89" s="45"/>
      <c r="FE89" s="45"/>
      <c r="FH89" s="45"/>
      <c r="FI89" s="45"/>
      <c r="FJ89" s="45"/>
      <c r="FM89" s="45"/>
      <c r="FN89" s="45"/>
      <c r="FO89" s="45"/>
      <c r="FR89" s="45"/>
      <c r="FS89" s="45"/>
      <c r="FT89" s="45"/>
    </row>
    <row r="90" spans="14:176">
      <c r="N90" s="45"/>
      <c r="O90" s="45"/>
      <c r="P90" s="45"/>
      <c r="S90" s="45"/>
      <c r="T90" s="45"/>
      <c r="U90" s="45"/>
      <c r="X90" s="45"/>
      <c r="Y90" s="45"/>
      <c r="Z90" s="45"/>
      <c r="AC90" s="45"/>
      <c r="AD90" s="45"/>
      <c r="AE90" s="45"/>
      <c r="AH90" s="45"/>
      <c r="AI90" s="45"/>
      <c r="AJ90" s="45"/>
      <c r="AP90" s="45"/>
      <c r="AQ90" s="45"/>
      <c r="AR90" s="45"/>
      <c r="AU90" s="45"/>
      <c r="AV90" s="45"/>
      <c r="AW90" s="45"/>
      <c r="AZ90" s="45"/>
      <c r="BA90" s="45"/>
      <c r="BB90" s="45"/>
      <c r="BE90" s="45"/>
      <c r="BF90" s="45"/>
      <c r="BG90" s="45"/>
      <c r="BJ90" s="45"/>
      <c r="BK90" s="45"/>
      <c r="BL90" s="45"/>
      <c r="BR90" s="45"/>
      <c r="BS90" s="45"/>
      <c r="BT90" s="45"/>
      <c r="BW90" s="45"/>
      <c r="BX90" s="45"/>
      <c r="BY90" s="45"/>
      <c r="CB90" s="45"/>
      <c r="CC90" s="45"/>
      <c r="CD90" s="45"/>
      <c r="CG90" s="45"/>
      <c r="CH90" s="45"/>
      <c r="CI90" s="45"/>
      <c r="CL90" s="45"/>
      <c r="CM90" s="45"/>
      <c r="CN90" s="45"/>
      <c r="CT90" s="45"/>
      <c r="CU90" s="45"/>
      <c r="CV90" s="45"/>
      <c r="CY90" s="45"/>
      <c r="CZ90" s="45"/>
      <c r="DA90" s="45"/>
      <c r="DD90" s="45"/>
      <c r="DE90" s="45"/>
      <c r="DF90" s="45"/>
      <c r="DI90" s="45"/>
      <c r="DJ90" s="45"/>
      <c r="DK90" s="45"/>
      <c r="DN90" s="45"/>
      <c r="DO90" s="45"/>
      <c r="DP90" s="45"/>
      <c r="DV90" s="45"/>
      <c r="DW90" s="45"/>
      <c r="DX90" s="45"/>
      <c r="EA90" s="45"/>
      <c r="EB90" s="45"/>
      <c r="EC90" s="45"/>
      <c r="EF90" s="45"/>
      <c r="EG90" s="45"/>
      <c r="EH90" s="45"/>
      <c r="EK90" s="45"/>
      <c r="EL90" s="45"/>
      <c r="EM90" s="45"/>
      <c r="EP90" s="45"/>
      <c r="EQ90" s="45"/>
      <c r="ER90" s="45"/>
      <c r="EX90" s="45"/>
      <c r="EY90" s="45"/>
      <c r="EZ90" s="45"/>
      <c r="FC90" s="45"/>
      <c r="FD90" s="45"/>
      <c r="FE90" s="45"/>
      <c r="FH90" s="45"/>
      <c r="FI90" s="45"/>
      <c r="FJ90" s="45"/>
      <c r="FM90" s="45"/>
      <c r="FN90" s="45"/>
      <c r="FO90" s="45"/>
      <c r="FR90" s="45"/>
      <c r="FS90" s="45"/>
      <c r="FT90" s="45"/>
    </row>
    <row r="91" spans="14:176">
      <c r="N91" s="45"/>
      <c r="O91" s="45"/>
      <c r="P91" s="45"/>
      <c r="S91" s="45"/>
      <c r="T91" s="45"/>
      <c r="U91" s="45"/>
      <c r="X91" s="45"/>
      <c r="Y91" s="45"/>
      <c r="Z91" s="45"/>
      <c r="AC91" s="45"/>
      <c r="AD91" s="45"/>
      <c r="AE91" s="45"/>
      <c r="AH91" s="45"/>
      <c r="AI91" s="45"/>
      <c r="AJ91" s="45"/>
      <c r="AP91" s="45"/>
      <c r="AQ91" s="45"/>
      <c r="AR91" s="45"/>
      <c r="AU91" s="45"/>
      <c r="AV91" s="45"/>
      <c r="AW91" s="45"/>
      <c r="AZ91" s="45"/>
      <c r="BA91" s="45"/>
      <c r="BB91" s="45"/>
      <c r="BE91" s="45"/>
      <c r="BF91" s="45"/>
      <c r="BG91" s="45"/>
      <c r="BJ91" s="45"/>
      <c r="BK91" s="45"/>
      <c r="BL91" s="45"/>
      <c r="BR91" s="45"/>
      <c r="BS91" s="45"/>
      <c r="BT91" s="45"/>
      <c r="BW91" s="45"/>
      <c r="BX91" s="45"/>
      <c r="BY91" s="45"/>
      <c r="CB91" s="45"/>
      <c r="CC91" s="45"/>
      <c r="CD91" s="45"/>
      <c r="CG91" s="45"/>
      <c r="CH91" s="45"/>
      <c r="CI91" s="45"/>
      <c r="CL91" s="45"/>
      <c r="CM91" s="45"/>
      <c r="CN91" s="45"/>
      <c r="CT91" s="45"/>
      <c r="CU91" s="45"/>
      <c r="CV91" s="45"/>
      <c r="CY91" s="45"/>
      <c r="CZ91" s="45"/>
      <c r="DA91" s="45"/>
      <c r="DD91" s="45"/>
      <c r="DE91" s="45"/>
      <c r="DF91" s="45"/>
      <c r="DI91" s="45"/>
      <c r="DJ91" s="45"/>
      <c r="DK91" s="45"/>
      <c r="DN91" s="45"/>
      <c r="DO91" s="45"/>
      <c r="DP91" s="45"/>
      <c r="DV91" s="45"/>
      <c r="DW91" s="45"/>
      <c r="DX91" s="45"/>
      <c r="EA91" s="45"/>
      <c r="EB91" s="45"/>
      <c r="EC91" s="45"/>
      <c r="EF91" s="45"/>
      <c r="EG91" s="45"/>
      <c r="EH91" s="45"/>
      <c r="EK91" s="45"/>
      <c r="EL91" s="45"/>
      <c r="EM91" s="45"/>
      <c r="EP91" s="45"/>
      <c r="EQ91" s="45"/>
      <c r="ER91" s="45"/>
      <c r="EX91" s="45"/>
      <c r="EY91" s="45"/>
      <c r="EZ91" s="45"/>
      <c r="FC91" s="45"/>
      <c r="FD91" s="45"/>
      <c r="FE91" s="45"/>
      <c r="FH91" s="45"/>
      <c r="FI91" s="45"/>
      <c r="FJ91" s="45"/>
      <c r="FM91" s="45"/>
      <c r="FN91" s="45"/>
      <c r="FO91" s="45"/>
      <c r="FR91" s="45"/>
      <c r="FS91" s="45"/>
      <c r="FT91" s="45"/>
    </row>
    <row r="92" spans="14:176">
      <c r="N92" s="45"/>
      <c r="O92" s="45"/>
      <c r="P92" s="45"/>
      <c r="S92" s="45"/>
      <c r="T92" s="45"/>
      <c r="U92" s="45"/>
      <c r="X92" s="45"/>
      <c r="Y92" s="45"/>
      <c r="Z92" s="45"/>
      <c r="AC92" s="45"/>
      <c r="AD92" s="45"/>
      <c r="AE92" s="45"/>
      <c r="AH92" s="45"/>
      <c r="AI92" s="45"/>
      <c r="AJ92" s="45"/>
      <c r="AP92" s="45"/>
      <c r="AQ92" s="45"/>
      <c r="AR92" s="45"/>
      <c r="AU92" s="45"/>
      <c r="AV92" s="45"/>
      <c r="AW92" s="45"/>
      <c r="AZ92" s="45"/>
      <c r="BA92" s="45"/>
      <c r="BB92" s="45"/>
      <c r="BE92" s="45"/>
      <c r="BF92" s="45"/>
      <c r="BG92" s="45"/>
      <c r="BJ92" s="45"/>
      <c r="BK92" s="45"/>
      <c r="BL92" s="45"/>
      <c r="BR92" s="45"/>
      <c r="BS92" s="45"/>
      <c r="BT92" s="45"/>
      <c r="BW92" s="45"/>
      <c r="BX92" s="45"/>
      <c r="BY92" s="45"/>
      <c r="CB92" s="45"/>
      <c r="CC92" s="45"/>
      <c r="CD92" s="45"/>
      <c r="CG92" s="45"/>
      <c r="CH92" s="45"/>
      <c r="CI92" s="45"/>
      <c r="CL92" s="45"/>
      <c r="CM92" s="45"/>
      <c r="CN92" s="45"/>
      <c r="CT92" s="45"/>
      <c r="CU92" s="45"/>
      <c r="CV92" s="45"/>
      <c r="CY92" s="45"/>
      <c r="CZ92" s="45"/>
      <c r="DA92" s="45"/>
      <c r="DD92" s="45"/>
      <c r="DE92" s="45"/>
      <c r="DF92" s="45"/>
      <c r="DI92" s="45"/>
      <c r="DJ92" s="45"/>
      <c r="DK92" s="45"/>
      <c r="DN92" s="45"/>
      <c r="DO92" s="45"/>
      <c r="DP92" s="45"/>
      <c r="DV92" s="45"/>
      <c r="DW92" s="45"/>
      <c r="DX92" s="45"/>
      <c r="EA92" s="45"/>
      <c r="EB92" s="45"/>
      <c r="EC92" s="45"/>
      <c r="EF92" s="45"/>
      <c r="EG92" s="45"/>
      <c r="EH92" s="45"/>
      <c r="EK92" s="45"/>
      <c r="EL92" s="45"/>
      <c r="EM92" s="45"/>
      <c r="EP92" s="45"/>
      <c r="EQ92" s="45"/>
      <c r="ER92" s="45"/>
      <c r="EX92" s="45"/>
      <c r="EY92" s="45"/>
      <c r="EZ92" s="45"/>
      <c r="FC92" s="45"/>
      <c r="FD92" s="45"/>
      <c r="FE92" s="45"/>
      <c r="FH92" s="45"/>
      <c r="FI92" s="45"/>
      <c r="FJ92" s="45"/>
      <c r="FM92" s="45"/>
      <c r="FN92" s="45"/>
      <c r="FO92" s="45"/>
      <c r="FR92" s="45"/>
      <c r="FS92" s="45"/>
      <c r="FT92" s="45"/>
    </row>
    <row r="93" spans="14:176">
      <c r="N93" s="45"/>
      <c r="O93" s="45"/>
      <c r="P93" s="45"/>
      <c r="S93" s="45"/>
      <c r="T93" s="45"/>
      <c r="U93" s="45"/>
      <c r="X93" s="45"/>
      <c r="Y93" s="45"/>
      <c r="Z93" s="45"/>
      <c r="AC93" s="45"/>
      <c r="AD93" s="45"/>
      <c r="AE93" s="45"/>
      <c r="AH93" s="45"/>
      <c r="AI93" s="45"/>
      <c r="AJ93" s="45"/>
      <c r="AP93" s="45"/>
      <c r="AQ93" s="45"/>
      <c r="AR93" s="45"/>
      <c r="AU93" s="45"/>
      <c r="AV93" s="45"/>
      <c r="AW93" s="45"/>
      <c r="AZ93" s="45"/>
      <c r="BA93" s="45"/>
      <c r="BB93" s="45"/>
      <c r="BE93" s="45"/>
      <c r="BF93" s="45"/>
      <c r="BG93" s="45"/>
      <c r="BJ93" s="45"/>
      <c r="BK93" s="45"/>
      <c r="BL93" s="45"/>
      <c r="BR93" s="45"/>
      <c r="BS93" s="45"/>
      <c r="BT93" s="45"/>
      <c r="BW93" s="45"/>
      <c r="BX93" s="45"/>
      <c r="BY93" s="45"/>
      <c r="CB93" s="45"/>
      <c r="CC93" s="45"/>
      <c r="CD93" s="45"/>
      <c r="CG93" s="45"/>
      <c r="CH93" s="45"/>
      <c r="CI93" s="45"/>
      <c r="CL93" s="45"/>
      <c r="CM93" s="45"/>
      <c r="CN93" s="45"/>
      <c r="CT93" s="45"/>
      <c r="CU93" s="45"/>
      <c r="CV93" s="45"/>
      <c r="CY93" s="45"/>
      <c r="CZ93" s="45"/>
      <c r="DA93" s="45"/>
      <c r="DD93" s="45"/>
      <c r="DE93" s="45"/>
      <c r="DF93" s="45"/>
      <c r="DI93" s="45"/>
      <c r="DJ93" s="45"/>
      <c r="DK93" s="45"/>
      <c r="DN93" s="45"/>
      <c r="DO93" s="45"/>
      <c r="DP93" s="45"/>
      <c r="DV93" s="45"/>
      <c r="DW93" s="45"/>
      <c r="DX93" s="45"/>
      <c r="EA93" s="45"/>
      <c r="EB93" s="45"/>
      <c r="EC93" s="45"/>
      <c r="EF93" s="45"/>
      <c r="EG93" s="45"/>
      <c r="EH93" s="45"/>
      <c r="EK93" s="45"/>
      <c r="EL93" s="45"/>
      <c r="EM93" s="45"/>
      <c r="EP93" s="45"/>
      <c r="EQ93" s="45"/>
      <c r="ER93" s="45"/>
      <c r="EX93" s="45"/>
      <c r="EY93" s="45"/>
      <c r="EZ93" s="45"/>
      <c r="FC93" s="45"/>
      <c r="FD93" s="45"/>
      <c r="FE93" s="45"/>
      <c r="FH93" s="45"/>
      <c r="FI93" s="45"/>
      <c r="FJ93" s="45"/>
      <c r="FM93" s="45"/>
      <c r="FN93" s="45"/>
      <c r="FO93" s="45"/>
      <c r="FR93" s="45"/>
      <c r="FS93" s="45"/>
      <c r="FT93" s="45"/>
    </row>
    <row r="94" spans="14:176">
      <c r="N94" s="45"/>
      <c r="O94" s="45"/>
      <c r="P94" s="45"/>
      <c r="S94" s="45"/>
      <c r="T94" s="45"/>
      <c r="U94" s="45"/>
      <c r="X94" s="45"/>
      <c r="Y94" s="45"/>
      <c r="Z94" s="45"/>
      <c r="AC94" s="45"/>
      <c r="AD94" s="45"/>
      <c r="AE94" s="45"/>
      <c r="AH94" s="45"/>
      <c r="AI94" s="45"/>
      <c r="AJ94" s="45"/>
      <c r="AP94" s="45"/>
      <c r="AQ94" s="45"/>
      <c r="AR94" s="45"/>
      <c r="AU94" s="45"/>
      <c r="AV94" s="45"/>
      <c r="AW94" s="45"/>
      <c r="AZ94" s="45"/>
      <c r="BA94" s="45"/>
      <c r="BB94" s="45"/>
      <c r="BE94" s="45"/>
      <c r="BF94" s="45"/>
      <c r="BG94" s="45"/>
      <c r="BJ94" s="45"/>
      <c r="BK94" s="45"/>
      <c r="BL94" s="45"/>
      <c r="BR94" s="45"/>
      <c r="BS94" s="45"/>
      <c r="BT94" s="45"/>
      <c r="BW94" s="45"/>
      <c r="BX94" s="45"/>
      <c r="BY94" s="45"/>
      <c r="CB94" s="45"/>
      <c r="CC94" s="45"/>
      <c r="CD94" s="45"/>
      <c r="CG94" s="45"/>
      <c r="CH94" s="45"/>
      <c r="CI94" s="45"/>
      <c r="CL94" s="45"/>
      <c r="CM94" s="45"/>
      <c r="CN94" s="45"/>
      <c r="CT94" s="45"/>
      <c r="CU94" s="45"/>
      <c r="CV94" s="45"/>
      <c r="CY94" s="45"/>
      <c r="CZ94" s="45"/>
      <c r="DA94" s="45"/>
      <c r="DD94" s="45"/>
      <c r="DE94" s="45"/>
      <c r="DF94" s="45"/>
      <c r="DI94" s="45"/>
      <c r="DJ94" s="45"/>
      <c r="DK94" s="45"/>
      <c r="DN94" s="45"/>
      <c r="DO94" s="45"/>
      <c r="DP94" s="45"/>
      <c r="DV94" s="45"/>
      <c r="DW94" s="45"/>
      <c r="DX94" s="45"/>
      <c r="EA94" s="45"/>
      <c r="EB94" s="45"/>
      <c r="EC94" s="45"/>
      <c r="EF94" s="45"/>
      <c r="EG94" s="45"/>
      <c r="EH94" s="45"/>
      <c r="EK94" s="45"/>
      <c r="EL94" s="45"/>
      <c r="EM94" s="45"/>
      <c r="EP94" s="45"/>
      <c r="EQ94" s="45"/>
      <c r="ER94" s="45"/>
      <c r="EX94" s="45"/>
      <c r="EY94" s="45"/>
      <c r="EZ94" s="45"/>
      <c r="FC94" s="45"/>
      <c r="FD94" s="45"/>
      <c r="FE94" s="45"/>
      <c r="FH94" s="45"/>
      <c r="FI94" s="45"/>
      <c r="FJ94" s="45"/>
      <c r="FM94" s="45"/>
      <c r="FN94" s="45"/>
      <c r="FO94" s="45"/>
      <c r="FR94" s="45"/>
      <c r="FS94" s="45"/>
      <c r="FT94" s="45"/>
    </row>
    <row r="95" spans="14:176">
      <c r="N95" s="45"/>
      <c r="O95" s="45"/>
      <c r="P95" s="45"/>
      <c r="S95" s="45"/>
      <c r="T95" s="45"/>
      <c r="U95" s="45"/>
      <c r="X95" s="45"/>
      <c r="Y95" s="45"/>
      <c r="Z95" s="45"/>
      <c r="AC95" s="45"/>
      <c r="AD95" s="45"/>
      <c r="AE95" s="45"/>
      <c r="AH95" s="45"/>
      <c r="AI95" s="45"/>
      <c r="AJ95" s="45"/>
      <c r="AP95" s="45"/>
      <c r="AQ95" s="45"/>
      <c r="AR95" s="45"/>
      <c r="AU95" s="45"/>
      <c r="AV95" s="45"/>
      <c r="AW95" s="45"/>
      <c r="AZ95" s="45"/>
      <c r="BA95" s="45"/>
      <c r="BB95" s="45"/>
      <c r="BE95" s="45"/>
      <c r="BF95" s="45"/>
      <c r="BG95" s="45"/>
      <c r="BJ95" s="45"/>
      <c r="BK95" s="45"/>
      <c r="BL95" s="45"/>
      <c r="BR95" s="45"/>
      <c r="BS95" s="45"/>
      <c r="BT95" s="45"/>
      <c r="BW95" s="45"/>
      <c r="BX95" s="45"/>
      <c r="BY95" s="45"/>
      <c r="CB95" s="45"/>
      <c r="CC95" s="45"/>
      <c r="CD95" s="45"/>
      <c r="CG95" s="45"/>
      <c r="CH95" s="45"/>
      <c r="CI95" s="45"/>
      <c r="CL95" s="45"/>
      <c r="CM95" s="45"/>
      <c r="CN95" s="45"/>
      <c r="CT95" s="45"/>
      <c r="CU95" s="45"/>
      <c r="CV95" s="45"/>
      <c r="CY95" s="45"/>
      <c r="CZ95" s="45"/>
      <c r="DA95" s="45"/>
      <c r="DD95" s="45"/>
      <c r="DE95" s="45"/>
      <c r="DF95" s="45"/>
      <c r="DI95" s="45"/>
      <c r="DJ95" s="45"/>
      <c r="DK95" s="45"/>
      <c r="DN95" s="45"/>
      <c r="DO95" s="45"/>
      <c r="DP95" s="45"/>
      <c r="DV95" s="45"/>
      <c r="DW95" s="45"/>
      <c r="DX95" s="45"/>
      <c r="EA95" s="45"/>
      <c r="EB95" s="45"/>
      <c r="EC95" s="45"/>
      <c r="EF95" s="45"/>
      <c r="EG95" s="45"/>
      <c r="EH95" s="45"/>
      <c r="EK95" s="45"/>
      <c r="EL95" s="45"/>
      <c r="EM95" s="45"/>
      <c r="EP95" s="45"/>
      <c r="EQ95" s="45"/>
      <c r="ER95" s="45"/>
      <c r="EX95" s="45"/>
      <c r="EY95" s="45"/>
      <c r="EZ95" s="45"/>
      <c r="FC95" s="45"/>
      <c r="FD95" s="45"/>
      <c r="FE95" s="45"/>
      <c r="FH95" s="45"/>
      <c r="FI95" s="45"/>
      <c r="FJ95" s="45"/>
      <c r="FM95" s="45"/>
      <c r="FN95" s="45"/>
      <c r="FO95" s="45"/>
      <c r="FR95" s="45"/>
      <c r="FS95" s="45"/>
      <c r="FT95" s="45"/>
    </row>
    <row r="96" spans="14:176">
      <c r="N96" s="45"/>
      <c r="O96" s="45"/>
      <c r="P96" s="45"/>
      <c r="S96" s="45"/>
      <c r="T96" s="45"/>
      <c r="U96" s="45"/>
      <c r="X96" s="45"/>
      <c r="Y96" s="45"/>
      <c r="Z96" s="45"/>
      <c r="AC96" s="45"/>
      <c r="AD96" s="45"/>
      <c r="AE96" s="45"/>
      <c r="AH96" s="45"/>
      <c r="AI96" s="45"/>
      <c r="AJ96" s="45"/>
      <c r="AP96" s="45"/>
      <c r="AQ96" s="45"/>
      <c r="AR96" s="45"/>
      <c r="AU96" s="45"/>
      <c r="AV96" s="45"/>
      <c r="AW96" s="45"/>
      <c r="AZ96" s="45"/>
      <c r="BA96" s="45"/>
      <c r="BB96" s="45"/>
      <c r="BE96" s="45"/>
      <c r="BF96" s="45"/>
      <c r="BG96" s="45"/>
      <c r="BJ96" s="45"/>
      <c r="BK96" s="45"/>
      <c r="BL96" s="45"/>
      <c r="BR96" s="45"/>
      <c r="BS96" s="45"/>
      <c r="BT96" s="45"/>
      <c r="BW96" s="45"/>
      <c r="BX96" s="45"/>
      <c r="BY96" s="45"/>
      <c r="CB96" s="45"/>
      <c r="CC96" s="45"/>
      <c r="CD96" s="45"/>
      <c r="CG96" s="45"/>
      <c r="CH96" s="45"/>
      <c r="CI96" s="45"/>
      <c r="CL96" s="45"/>
      <c r="CM96" s="45"/>
      <c r="CN96" s="45"/>
      <c r="CT96" s="45"/>
      <c r="CU96" s="45"/>
      <c r="CV96" s="45"/>
      <c r="CY96" s="45"/>
      <c r="CZ96" s="45"/>
      <c r="DA96" s="45"/>
      <c r="DD96" s="45"/>
      <c r="DE96" s="45"/>
      <c r="DF96" s="45"/>
      <c r="DI96" s="45"/>
      <c r="DJ96" s="45"/>
      <c r="DK96" s="45"/>
      <c r="DN96" s="45"/>
      <c r="DO96" s="45"/>
      <c r="DP96" s="45"/>
      <c r="DV96" s="45"/>
      <c r="DW96" s="45"/>
      <c r="DX96" s="45"/>
      <c r="EA96" s="45"/>
      <c r="EB96" s="45"/>
      <c r="EC96" s="45"/>
      <c r="EF96" s="45"/>
      <c r="EG96" s="45"/>
      <c r="EH96" s="45"/>
      <c r="EK96" s="45"/>
      <c r="EL96" s="45"/>
      <c r="EM96" s="45"/>
      <c r="EP96" s="45"/>
      <c r="EQ96" s="45"/>
      <c r="ER96" s="45"/>
      <c r="EX96" s="45"/>
      <c r="EY96" s="45"/>
      <c r="EZ96" s="45"/>
      <c r="FC96" s="45"/>
      <c r="FD96" s="45"/>
      <c r="FE96" s="45"/>
      <c r="FH96" s="45"/>
      <c r="FI96" s="45"/>
      <c r="FJ96" s="45"/>
      <c r="FM96" s="45"/>
      <c r="FN96" s="45"/>
      <c r="FO96" s="45"/>
      <c r="FR96" s="45"/>
      <c r="FS96" s="45"/>
      <c r="FT96" s="45"/>
    </row>
    <row r="97" spans="14:176">
      <c r="N97" s="45"/>
      <c r="O97" s="45"/>
      <c r="P97" s="45"/>
      <c r="S97" s="45"/>
      <c r="T97" s="45"/>
      <c r="U97" s="45"/>
      <c r="X97" s="45"/>
      <c r="Y97" s="45"/>
      <c r="Z97" s="45"/>
      <c r="AC97" s="45"/>
      <c r="AD97" s="45"/>
      <c r="AE97" s="45"/>
      <c r="AH97" s="45"/>
      <c r="AI97" s="45"/>
      <c r="AJ97" s="45"/>
      <c r="AP97" s="45"/>
      <c r="AQ97" s="45"/>
      <c r="AR97" s="45"/>
      <c r="AU97" s="45"/>
      <c r="AV97" s="45"/>
      <c r="AW97" s="45"/>
      <c r="AZ97" s="45"/>
      <c r="BA97" s="45"/>
      <c r="BB97" s="45"/>
      <c r="BE97" s="45"/>
      <c r="BF97" s="45"/>
      <c r="BG97" s="45"/>
      <c r="BJ97" s="45"/>
      <c r="BK97" s="45"/>
      <c r="BL97" s="45"/>
      <c r="BR97" s="45"/>
      <c r="BS97" s="45"/>
      <c r="BT97" s="45"/>
      <c r="BW97" s="45"/>
      <c r="BX97" s="45"/>
      <c r="BY97" s="45"/>
      <c r="CB97" s="45"/>
      <c r="CC97" s="45"/>
      <c r="CD97" s="45"/>
      <c r="CG97" s="45"/>
      <c r="CH97" s="45"/>
      <c r="CI97" s="45"/>
      <c r="CL97" s="45"/>
      <c r="CM97" s="45"/>
      <c r="CN97" s="45"/>
      <c r="CT97" s="45"/>
      <c r="CU97" s="45"/>
      <c r="CV97" s="45"/>
      <c r="CY97" s="45"/>
      <c r="CZ97" s="45"/>
      <c r="DA97" s="45"/>
      <c r="DD97" s="45"/>
      <c r="DE97" s="45"/>
      <c r="DF97" s="45"/>
      <c r="DI97" s="45"/>
      <c r="DJ97" s="45"/>
      <c r="DK97" s="45"/>
      <c r="DN97" s="45"/>
      <c r="DO97" s="45"/>
      <c r="DP97" s="45"/>
      <c r="DV97" s="45"/>
      <c r="DW97" s="45"/>
      <c r="DX97" s="45"/>
      <c r="EA97" s="45"/>
      <c r="EB97" s="45"/>
      <c r="EC97" s="45"/>
      <c r="EF97" s="45"/>
      <c r="EG97" s="45"/>
      <c r="EH97" s="45"/>
      <c r="EK97" s="45"/>
      <c r="EL97" s="45"/>
      <c r="EM97" s="45"/>
      <c r="EP97" s="45"/>
      <c r="EQ97" s="45"/>
      <c r="ER97" s="45"/>
      <c r="EX97" s="45"/>
      <c r="EY97" s="45"/>
      <c r="EZ97" s="45"/>
      <c r="FC97" s="45"/>
      <c r="FD97" s="45"/>
      <c r="FE97" s="45"/>
      <c r="FH97" s="45"/>
      <c r="FI97" s="45"/>
      <c r="FJ97" s="45"/>
      <c r="FM97" s="45"/>
      <c r="FN97" s="45"/>
      <c r="FO97" s="45"/>
      <c r="FR97" s="45"/>
      <c r="FS97" s="45"/>
      <c r="FT97" s="45"/>
    </row>
  </sheetData>
  <autoFilter ref="A1:FS1" xr:uid="{00000000-0009-0000-0000-000005000000}"/>
  <dataValidations count="3">
    <dataValidation type="list" allowBlank="1" sqref="H12:H97" xr:uid="{00000000-0002-0000-0500-000001000000}">
      <formula1>"Grey (Not Started Yet),Green (On Track),Amber (Needs Attention),Red (At Risk)"</formula1>
    </dataValidation>
    <dataValidation type="list" allowBlank="1" sqref="C2:C97" xr:uid="{00000000-0002-0000-0500-000000000000}">
      <formula1>"Prime,Core,Select"</formula1>
    </dataValidation>
    <dataValidation type="list" allowBlank="1" sqref="BN2:BO97 AL2:AM97 J2:K97 CP2:CQ97 ET2:EU97 DR2:DS97" xr:uid="{00000000-0002-0000-0500-000002000000}">
      <formula1>"Need Deep Support,Need Some Guidance,Do Not Need Help"</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ED24-12EA-4AA7-84D1-083211DADEDB}">
  <dimension ref="A1:D12"/>
  <sheetViews>
    <sheetView workbookViewId="0"/>
  </sheetViews>
  <sheetFormatPr defaultRowHeight="15"/>
  <cols>
    <col min="1" max="1" width="36.140625" customWidth="1"/>
    <col min="2" max="2" width="37.5703125" customWidth="1"/>
    <col min="4" max="4" width="46.140625" customWidth="1"/>
  </cols>
  <sheetData>
    <row r="1" spans="1:4">
      <c r="A1" s="10" t="s">
        <v>251</v>
      </c>
      <c r="B1" s="10" t="s">
        <v>75</v>
      </c>
      <c r="D1" s="15" t="s">
        <v>615</v>
      </c>
    </row>
    <row r="2" spans="1:4">
      <c r="A2" s="10" t="s">
        <v>270</v>
      </c>
      <c r="B2" s="10" t="s">
        <v>94</v>
      </c>
      <c r="D2" s="15" t="s">
        <v>270</v>
      </c>
    </row>
    <row r="3" spans="1:4">
      <c r="A3" s="7" t="s">
        <v>1040</v>
      </c>
      <c r="B3" s="10" t="s">
        <v>107</v>
      </c>
      <c r="D3" s="15" t="s">
        <v>112</v>
      </c>
    </row>
    <row r="4" spans="1:4">
      <c r="A4" s="11" t="s">
        <v>1041</v>
      </c>
      <c r="B4" s="10" t="s">
        <v>120</v>
      </c>
      <c r="D4" s="15" t="s">
        <v>736</v>
      </c>
    </row>
    <row r="5" spans="1:4">
      <c r="A5" s="16" t="s">
        <v>1042</v>
      </c>
      <c r="B5" s="10" t="s">
        <v>133</v>
      </c>
      <c r="D5" s="15" t="s">
        <v>775</v>
      </c>
    </row>
    <row r="6" spans="1:4">
      <c r="A6" s="16" t="s">
        <v>1043</v>
      </c>
      <c r="B6" s="10" t="s">
        <v>147</v>
      </c>
      <c r="D6" s="15" t="s">
        <v>321</v>
      </c>
    </row>
    <row r="7" spans="1:4">
      <c r="A7" s="16" t="s">
        <v>1044</v>
      </c>
      <c r="B7" s="17" t="s">
        <v>161</v>
      </c>
      <c r="D7" s="15" t="s">
        <v>850</v>
      </c>
    </row>
    <row r="8" spans="1:4">
      <c r="A8" s="11" t="s">
        <v>179</v>
      </c>
      <c r="B8" s="10" t="s">
        <v>175</v>
      </c>
      <c r="D8" s="15" t="s">
        <v>888</v>
      </c>
    </row>
    <row r="9" spans="1:4">
      <c r="A9" s="16" t="s">
        <v>927</v>
      </c>
      <c r="B9" s="10" t="s">
        <v>188</v>
      </c>
      <c r="D9" s="15" t="s">
        <v>927</v>
      </c>
    </row>
    <row r="10" spans="1:4">
      <c r="A10" s="16" t="s">
        <v>209</v>
      </c>
      <c r="B10" s="10" t="s">
        <v>210</v>
      </c>
      <c r="D10" s="15" t="s">
        <v>209</v>
      </c>
    </row>
    <row r="11" spans="1:4">
      <c r="A11" s="7" t="s">
        <v>965</v>
      </c>
      <c r="B11" s="10" t="s">
        <v>199</v>
      </c>
      <c r="D11" s="15" t="s">
        <v>965</v>
      </c>
    </row>
    <row r="12" spans="1:4">
      <c r="A12" s="16" t="s">
        <v>1045</v>
      </c>
      <c r="B12" s="10" t="s">
        <v>1046</v>
      </c>
      <c r="D12" s="15" t="s">
        <v>1045</v>
      </c>
    </row>
  </sheetData>
  <hyperlinks>
    <hyperlink ref="A11" r:id="rId1" xr:uid="{0530AEFF-8B3F-4765-ABF1-CD44366DF2E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15"/>
  <sheetViews>
    <sheetView topLeftCell="P1" workbookViewId="0">
      <pane ySplit="1" topLeftCell="V9" activePane="bottomLeft" state="frozen"/>
      <selection pane="bottomLeft" activeCell="AD12" sqref="AD12"/>
    </sheetView>
  </sheetViews>
  <sheetFormatPr defaultColWidth="8.85546875" defaultRowHeight="15" customHeight="1"/>
  <cols>
    <col min="1" max="1" width="18" style="9" customWidth="1"/>
    <col min="2" max="2" width="23" style="9" customWidth="1"/>
    <col min="3" max="4" width="16" style="9" customWidth="1"/>
    <col min="5" max="5" width="28" style="9" customWidth="1"/>
    <col min="6" max="6" width="40" style="9" customWidth="1"/>
    <col min="7" max="7" width="29" style="9" customWidth="1"/>
    <col min="8" max="8" width="25" style="9" customWidth="1"/>
    <col min="9" max="9" width="30" style="9" customWidth="1"/>
    <col min="10" max="10" width="40" style="9" customWidth="1"/>
    <col min="11" max="11" width="31" style="9" customWidth="1"/>
    <col min="12" max="12" width="27" style="9" customWidth="1"/>
    <col min="13" max="13" width="31" style="9" customWidth="1"/>
    <col min="14" max="14" width="40" style="9" customWidth="1"/>
    <col min="15" max="15" width="32" style="9" customWidth="1"/>
    <col min="16" max="16" width="28" style="9" customWidth="1"/>
    <col min="17" max="17" width="32" style="9" customWidth="1"/>
    <col min="18" max="18" width="40" style="9" customWidth="1"/>
    <col min="19" max="19" width="33" style="9" customWidth="1"/>
    <col min="20" max="20" width="29" style="9" customWidth="1"/>
    <col min="21" max="21" width="34" style="9" customWidth="1"/>
    <col min="22" max="22" width="40" style="9" customWidth="1"/>
    <col min="23" max="23" width="35" style="9" customWidth="1"/>
    <col min="24" max="24" width="31" style="9" customWidth="1"/>
    <col min="25" max="28" width="40" style="9" customWidth="1"/>
    <col min="29" max="29" width="39" style="9" customWidth="1"/>
    <col min="30" max="31" width="40" style="9" customWidth="1"/>
    <col min="32" max="32" width="36" style="9" customWidth="1"/>
    <col min="33" max="33" width="40" style="9" customWidth="1"/>
    <col min="34" max="34" width="20" style="9" customWidth="1"/>
    <col min="35" max="35" width="40" style="9" customWidth="1"/>
    <col min="36" max="36" width="20" style="9" customWidth="1"/>
    <col min="37" max="37" width="40" style="9" customWidth="1"/>
    <col min="38" max="38" width="20" style="9" customWidth="1"/>
    <col min="39" max="39" width="40" style="9" customWidth="1"/>
    <col min="40" max="40" width="20" style="9" customWidth="1"/>
    <col min="41" max="41" width="40" style="9" customWidth="1"/>
    <col min="42" max="42" width="20" style="9" customWidth="1"/>
    <col min="43" max="43" width="40" style="9" customWidth="1"/>
    <col min="44" max="44" width="20" style="9" customWidth="1"/>
    <col min="45" max="47" width="40" style="9" customWidth="1"/>
    <col min="48" max="48" width="38" style="9" customWidth="1"/>
    <col min="49" max="49" width="40" style="9" customWidth="1"/>
    <col min="50" max="50" width="44.85546875" style="9" customWidth="1"/>
    <col min="51" max="52" width="40" style="9" customWidth="1"/>
    <col min="53" max="53" width="37" style="9" customWidth="1"/>
    <col min="54" max="54" width="31" style="9" customWidth="1"/>
    <col min="55" max="58" width="40" style="9" customWidth="1"/>
    <col min="59" max="59" width="54.28515625" style="9" customWidth="1"/>
    <col min="60" max="61" width="40" style="9" customWidth="1"/>
    <col min="62" max="63" width="36" style="9" customWidth="1"/>
    <col min="64" max="65" width="29" style="9" customWidth="1"/>
    <col min="66" max="67" width="31" style="9" customWidth="1"/>
    <col min="68" max="70" width="40" style="9" customWidth="1"/>
    <col min="71" max="71" width="26" style="9" customWidth="1"/>
    <col min="72" max="72" width="36" style="9" customWidth="1"/>
    <col min="73" max="73" width="37" style="9" customWidth="1"/>
    <col min="74" max="75" width="40" style="9" customWidth="1"/>
    <col min="76" max="76" width="26" style="9" customWidth="1"/>
    <col min="77" max="16384" width="8.85546875" style="9"/>
  </cols>
  <sheetData>
    <row r="1" spans="1:76" ht="45.75">
      <c r="A1" s="8" t="s">
        <v>43</v>
      </c>
      <c r="B1" s="8" t="s">
        <v>383</v>
      </c>
      <c r="C1" s="8" t="s">
        <v>384</v>
      </c>
      <c r="D1" s="8" t="s">
        <v>385</v>
      </c>
      <c r="E1" s="28" t="s">
        <v>386</v>
      </c>
      <c r="F1" s="28" t="s">
        <v>387</v>
      </c>
      <c r="G1" s="28" t="s">
        <v>388</v>
      </c>
      <c r="H1" s="28" t="s">
        <v>389</v>
      </c>
      <c r="I1" s="28" t="s">
        <v>390</v>
      </c>
      <c r="J1" s="28" t="s">
        <v>391</v>
      </c>
      <c r="K1" s="28" t="s">
        <v>392</v>
      </c>
      <c r="L1" s="28" t="s">
        <v>393</v>
      </c>
      <c r="M1" s="28" t="s">
        <v>394</v>
      </c>
      <c r="N1" s="28" t="s">
        <v>395</v>
      </c>
      <c r="O1" s="28" t="s">
        <v>396</v>
      </c>
      <c r="P1" s="28" t="s">
        <v>397</v>
      </c>
      <c r="Q1" s="28" t="s">
        <v>398</v>
      </c>
      <c r="R1" s="28" t="s">
        <v>399</v>
      </c>
      <c r="S1" s="28" t="s">
        <v>400</v>
      </c>
      <c r="T1" s="28" t="s">
        <v>401</v>
      </c>
      <c r="U1" s="28" t="s">
        <v>402</v>
      </c>
      <c r="V1" s="28" t="s">
        <v>403</v>
      </c>
      <c r="W1" s="28" t="s">
        <v>404</v>
      </c>
      <c r="X1" s="28" t="s">
        <v>405</v>
      </c>
      <c r="Y1" s="28" t="s">
        <v>406</v>
      </c>
      <c r="Z1" s="28" t="s">
        <v>407</v>
      </c>
      <c r="AA1" s="28" t="s">
        <v>408</v>
      </c>
      <c r="AB1" s="28" t="s">
        <v>409</v>
      </c>
      <c r="AC1" s="28" t="s">
        <v>410</v>
      </c>
      <c r="AD1" s="28" t="s">
        <v>411</v>
      </c>
      <c r="AE1" s="28" t="s">
        <v>412</v>
      </c>
      <c r="AF1" s="28" t="s">
        <v>413</v>
      </c>
      <c r="AG1" s="29" t="s">
        <v>414</v>
      </c>
      <c r="AH1" s="29" t="s">
        <v>415</v>
      </c>
      <c r="AI1" s="29" t="s">
        <v>416</v>
      </c>
      <c r="AJ1" s="29" t="s">
        <v>417</v>
      </c>
      <c r="AK1" s="29" t="s">
        <v>418</v>
      </c>
      <c r="AL1" s="29" t="s">
        <v>419</v>
      </c>
      <c r="AM1" s="29" t="s">
        <v>420</v>
      </c>
      <c r="AN1" s="29" t="s">
        <v>421</v>
      </c>
      <c r="AO1" s="29" t="s">
        <v>422</v>
      </c>
      <c r="AP1" s="29" t="s">
        <v>423</v>
      </c>
      <c r="AQ1" s="29" t="s">
        <v>424</v>
      </c>
      <c r="AR1" s="29" t="s">
        <v>425</v>
      </c>
      <c r="AS1" s="30" t="s">
        <v>1047</v>
      </c>
      <c r="AT1" s="30" t="s">
        <v>1048</v>
      </c>
      <c r="AU1" s="30" t="s">
        <v>1049</v>
      </c>
      <c r="AV1" s="30" t="s">
        <v>1050</v>
      </c>
      <c r="AW1" s="30" t="s">
        <v>1051</v>
      </c>
      <c r="AX1" s="30" t="s">
        <v>1052</v>
      </c>
      <c r="AY1" s="31" t="s">
        <v>1053</v>
      </c>
      <c r="AZ1" s="31" t="s">
        <v>1054</v>
      </c>
      <c r="BA1" s="31" t="s">
        <v>1055</v>
      </c>
      <c r="BB1" s="31" t="s">
        <v>1056</v>
      </c>
      <c r="BC1" s="31" t="s">
        <v>1057</v>
      </c>
      <c r="BD1" s="31" t="s">
        <v>1058</v>
      </c>
      <c r="BE1" s="31" t="s">
        <v>1059</v>
      </c>
      <c r="BF1" s="31" t="s">
        <v>1060</v>
      </c>
      <c r="BG1" s="31" t="s">
        <v>1061</v>
      </c>
      <c r="BH1" s="32" t="s">
        <v>1062</v>
      </c>
      <c r="BI1" s="32" t="s">
        <v>1063</v>
      </c>
      <c r="BJ1" s="32" t="s">
        <v>1064</v>
      </c>
      <c r="BK1" s="32" t="s">
        <v>1065</v>
      </c>
      <c r="BL1" s="32" t="s">
        <v>1066</v>
      </c>
      <c r="BM1" s="32" t="s">
        <v>1067</v>
      </c>
      <c r="BN1" s="32" t="s">
        <v>1068</v>
      </c>
      <c r="BO1" s="32" t="s">
        <v>1069</v>
      </c>
      <c r="BP1" s="32" t="s">
        <v>1070</v>
      </c>
      <c r="BQ1" s="32" t="s">
        <v>1071</v>
      </c>
      <c r="BR1" s="32" t="s">
        <v>1072</v>
      </c>
      <c r="BS1" s="32" t="s">
        <v>1073</v>
      </c>
      <c r="BT1" s="32" t="s">
        <v>1074</v>
      </c>
      <c r="BU1" s="32" t="s">
        <v>1075</v>
      </c>
      <c r="BV1" s="33" t="s">
        <v>1076</v>
      </c>
      <c r="BW1" s="33" t="s">
        <v>1077</v>
      </c>
      <c r="BX1" s="33" t="s">
        <v>1078</v>
      </c>
    </row>
    <row r="2" spans="1:76" ht="94.5">
      <c r="A2" s="7" t="s">
        <v>251</v>
      </c>
      <c r="B2" s="42" t="s">
        <v>268</v>
      </c>
      <c r="C2" s="19">
        <v>45828</v>
      </c>
      <c r="D2" s="25" t="s">
        <v>1079</v>
      </c>
      <c r="E2" s="25" t="s">
        <v>256</v>
      </c>
      <c r="F2" s="25" t="s">
        <v>256</v>
      </c>
      <c r="G2" s="25" t="s">
        <v>90</v>
      </c>
      <c r="H2" s="25" t="s">
        <v>90</v>
      </c>
      <c r="I2" s="25" t="s">
        <v>90</v>
      </c>
      <c r="J2" s="25" t="s">
        <v>90</v>
      </c>
      <c r="K2" s="25" t="s">
        <v>90</v>
      </c>
      <c r="L2" s="25" t="s">
        <v>90</v>
      </c>
      <c r="M2" s="25" t="s">
        <v>256</v>
      </c>
      <c r="N2" s="25" t="s">
        <v>256</v>
      </c>
      <c r="O2" s="25" t="s">
        <v>90</v>
      </c>
      <c r="P2" s="25" t="s">
        <v>90</v>
      </c>
      <c r="Q2" s="25" t="s">
        <v>256</v>
      </c>
      <c r="R2" s="25" t="s">
        <v>256</v>
      </c>
      <c r="S2" s="25" t="s">
        <v>90</v>
      </c>
      <c r="T2" s="25" t="s">
        <v>90</v>
      </c>
      <c r="U2" s="25" t="s">
        <v>256</v>
      </c>
      <c r="V2" s="25" t="s">
        <v>256</v>
      </c>
      <c r="W2" s="25" t="s">
        <v>90</v>
      </c>
      <c r="X2" s="25" t="s">
        <v>90</v>
      </c>
      <c r="Y2" s="25" t="s">
        <v>256</v>
      </c>
      <c r="Z2" s="25" t="s">
        <v>256</v>
      </c>
      <c r="AA2" s="25" t="s">
        <v>90</v>
      </c>
      <c r="AB2" s="25" t="s">
        <v>90</v>
      </c>
      <c r="AC2" s="25" t="s">
        <v>90</v>
      </c>
      <c r="AD2" s="25" t="s">
        <v>90</v>
      </c>
      <c r="AE2" s="25" t="s">
        <v>90</v>
      </c>
      <c r="AF2" s="25" t="s">
        <v>90</v>
      </c>
      <c r="AG2" s="25" t="s">
        <v>1080</v>
      </c>
      <c r="AH2" s="25" t="s">
        <v>90</v>
      </c>
      <c r="AI2" s="25" t="s">
        <v>1080</v>
      </c>
      <c r="AJ2" s="25" t="s">
        <v>90</v>
      </c>
      <c r="AK2" s="25" t="s">
        <v>1080</v>
      </c>
      <c r="AL2" s="25" t="s">
        <v>90</v>
      </c>
      <c r="AM2" s="25" t="s">
        <v>1080</v>
      </c>
      <c r="AN2" s="25" t="s">
        <v>90</v>
      </c>
      <c r="AO2" s="25" t="s">
        <v>1080</v>
      </c>
      <c r="AP2" s="25" t="s">
        <v>90</v>
      </c>
      <c r="AQ2" s="25" t="s">
        <v>1080</v>
      </c>
      <c r="AR2" s="25" t="s">
        <v>90</v>
      </c>
      <c r="AS2" s="25" t="s">
        <v>1081</v>
      </c>
      <c r="AT2" s="25" t="s">
        <v>1082</v>
      </c>
      <c r="AU2" s="25">
        <v>3</v>
      </c>
      <c r="AV2" s="25" t="s">
        <v>1083</v>
      </c>
      <c r="AW2" s="25">
        <v>3</v>
      </c>
      <c r="AX2" s="25" t="s">
        <v>1084</v>
      </c>
      <c r="AY2" s="25" t="s">
        <v>1085</v>
      </c>
      <c r="AZ2" s="25" t="s">
        <v>1086</v>
      </c>
      <c r="BA2" s="25" t="s">
        <v>1087</v>
      </c>
      <c r="BB2" s="25" t="s">
        <v>90</v>
      </c>
      <c r="BC2" s="25" t="s">
        <v>1088</v>
      </c>
      <c r="BD2" s="25" t="s">
        <v>1089</v>
      </c>
      <c r="BE2" s="26" t="s">
        <v>1090</v>
      </c>
      <c r="BF2" s="26">
        <v>3</v>
      </c>
      <c r="BG2" s="26" t="s">
        <v>1091</v>
      </c>
      <c r="BH2" s="26" t="s">
        <v>620</v>
      </c>
      <c r="BI2" s="26" t="s">
        <v>1092</v>
      </c>
      <c r="BJ2" s="26" t="s">
        <v>620</v>
      </c>
      <c r="BK2" s="26" t="s">
        <v>1093</v>
      </c>
      <c r="BL2" s="26" t="s">
        <v>620</v>
      </c>
      <c r="BM2" s="26" t="s">
        <v>1094</v>
      </c>
      <c r="BN2" s="26" t="s">
        <v>620</v>
      </c>
      <c r="BO2" s="26" t="s">
        <v>90</v>
      </c>
      <c r="BP2" s="26" t="s">
        <v>620</v>
      </c>
      <c r="BQ2" s="26" t="s">
        <v>1095</v>
      </c>
      <c r="BR2" s="26" t="s">
        <v>620</v>
      </c>
      <c r="BS2" s="26" t="s">
        <v>1096</v>
      </c>
      <c r="BT2" s="26" t="s">
        <v>1097</v>
      </c>
      <c r="BU2" s="26" t="s">
        <v>1098</v>
      </c>
      <c r="BV2" s="26" t="s">
        <v>1099</v>
      </c>
      <c r="BW2" s="27" t="s">
        <v>267</v>
      </c>
      <c r="BX2" s="26" t="s">
        <v>269</v>
      </c>
    </row>
    <row r="3" spans="1:76" ht="135">
      <c r="A3" s="7" t="s">
        <v>270</v>
      </c>
      <c r="B3" s="42" t="s">
        <v>268</v>
      </c>
      <c r="C3" s="19">
        <v>45862</v>
      </c>
      <c r="D3" s="25" t="s">
        <v>1079</v>
      </c>
      <c r="E3" s="25" t="s">
        <v>256</v>
      </c>
      <c r="F3" s="25" t="s">
        <v>305</v>
      </c>
      <c r="G3" s="25" t="s">
        <v>1100</v>
      </c>
      <c r="H3" s="25" t="s">
        <v>1101</v>
      </c>
      <c r="I3" s="25" t="s">
        <v>90</v>
      </c>
      <c r="J3" s="25" t="s">
        <v>305</v>
      </c>
      <c r="K3" s="25" t="s">
        <v>1102</v>
      </c>
      <c r="L3" s="25" t="s">
        <v>1103</v>
      </c>
      <c r="M3" s="25" t="s">
        <v>256</v>
      </c>
      <c r="N3" s="25" t="s">
        <v>256</v>
      </c>
      <c r="O3" s="25" t="s">
        <v>1104</v>
      </c>
      <c r="P3" s="25" t="s">
        <v>1105</v>
      </c>
      <c r="Q3" s="25" t="s">
        <v>256</v>
      </c>
      <c r="R3" s="25" t="s">
        <v>305</v>
      </c>
      <c r="S3" s="25" t="s">
        <v>1106</v>
      </c>
      <c r="T3" s="25" t="s">
        <v>1107</v>
      </c>
      <c r="U3" s="25" t="s">
        <v>256</v>
      </c>
      <c r="V3" s="25" t="s">
        <v>256</v>
      </c>
      <c r="W3" s="25" t="s">
        <v>1108</v>
      </c>
      <c r="X3" s="25" t="s">
        <v>1109</v>
      </c>
      <c r="Y3" s="25" t="s">
        <v>256</v>
      </c>
      <c r="Z3" s="25" t="s">
        <v>305</v>
      </c>
      <c r="AA3" s="25" t="s">
        <v>1110</v>
      </c>
      <c r="AB3" s="25" t="s">
        <v>1111</v>
      </c>
      <c r="AC3" s="25" t="s">
        <v>256</v>
      </c>
      <c r="AD3" s="25" t="s">
        <v>305</v>
      </c>
      <c r="AE3" s="25" t="s">
        <v>1112</v>
      </c>
      <c r="AF3" s="25" t="s">
        <v>1113</v>
      </c>
      <c r="AG3" s="25" t="s">
        <v>1080</v>
      </c>
      <c r="AH3" s="25" t="s">
        <v>1114</v>
      </c>
      <c r="AI3" s="25" t="s">
        <v>1115</v>
      </c>
      <c r="AJ3" s="25" t="s">
        <v>1116</v>
      </c>
      <c r="AK3" s="25" t="s">
        <v>1080</v>
      </c>
      <c r="AL3" s="25" t="s">
        <v>1117</v>
      </c>
      <c r="AM3" s="25" t="s">
        <v>1080</v>
      </c>
      <c r="AN3" s="25" t="s">
        <v>1118</v>
      </c>
      <c r="AO3" s="25" t="s">
        <v>1080</v>
      </c>
      <c r="AP3" s="25" t="s">
        <v>1119</v>
      </c>
      <c r="AQ3" s="25" t="s">
        <v>1080</v>
      </c>
      <c r="AR3" s="25" t="s">
        <v>1120</v>
      </c>
      <c r="AS3" s="25" t="s">
        <v>1121</v>
      </c>
      <c r="AT3" s="25" t="s">
        <v>1122</v>
      </c>
      <c r="AU3" s="25">
        <v>3</v>
      </c>
      <c r="AV3" s="25" t="s">
        <v>1123</v>
      </c>
      <c r="AW3" s="25">
        <v>4</v>
      </c>
      <c r="AX3" s="25" t="s">
        <v>1124</v>
      </c>
      <c r="AY3" s="25" t="s">
        <v>1125</v>
      </c>
      <c r="AZ3" s="25" t="s">
        <v>1126</v>
      </c>
      <c r="BA3" s="25" t="s">
        <v>1127</v>
      </c>
      <c r="BB3" s="25" t="s">
        <v>1128</v>
      </c>
      <c r="BC3" s="25" t="s">
        <v>1129</v>
      </c>
      <c r="BD3" s="25" t="s">
        <v>1130</v>
      </c>
      <c r="BE3" s="26" t="s">
        <v>1131</v>
      </c>
      <c r="BF3" s="26">
        <v>4</v>
      </c>
      <c r="BG3" s="26" t="s">
        <v>1132</v>
      </c>
      <c r="BH3" s="34" t="s">
        <v>620</v>
      </c>
      <c r="BI3" s="26" t="s">
        <v>1133</v>
      </c>
      <c r="BJ3" s="26" t="s">
        <v>305</v>
      </c>
      <c r="BK3" s="26" t="s">
        <v>1134</v>
      </c>
      <c r="BL3" s="26" t="s">
        <v>620</v>
      </c>
      <c r="BM3" s="26" t="s">
        <v>1135</v>
      </c>
      <c r="BN3" s="26" t="s">
        <v>620</v>
      </c>
      <c r="BO3" s="26" t="s">
        <v>1136</v>
      </c>
      <c r="BP3" s="26" t="s">
        <v>316</v>
      </c>
      <c r="BQ3" s="26" t="s">
        <v>1137</v>
      </c>
      <c r="BR3" s="26" t="s">
        <v>1138</v>
      </c>
      <c r="BS3" s="26" t="s">
        <v>1139</v>
      </c>
      <c r="BT3" s="26" t="s">
        <v>1140</v>
      </c>
      <c r="BU3" s="26" t="s">
        <v>1141</v>
      </c>
      <c r="BV3" s="26" t="s">
        <v>1099</v>
      </c>
      <c r="BW3" s="27" t="s">
        <v>267</v>
      </c>
      <c r="BX3" s="26" t="s">
        <v>1142</v>
      </c>
    </row>
    <row r="4" spans="1:76" ht="81">
      <c r="A4" s="7" t="s">
        <v>279</v>
      </c>
      <c r="B4" s="42" t="s">
        <v>268</v>
      </c>
      <c r="C4" s="19">
        <v>45868</v>
      </c>
      <c r="D4" s="25" t="s">
        <v>1079</v>
      </c>
      <c r="E4" s="25" t="s">
        <v>256</v>
      </c>
      <c r="F4" s="25" t="s">
        <v>256</v>
      </c>
      <c r="G4" s="25" t="s">
        <v>90</v>
      </c>
      <c r="H4" s="25" t="s">
        <v>90</v>
      </c>
      <c r="I4" s="25" t="s">
        <v>90</v>
      </c>
      <c r="J4" s="25" t="s">
        <v>90</v>
      </c>
      <c r="K4" s="25" t="s">
        <v>90</v>
      </c>
      <c r="L4" s="25" t="s">
        <v>90</v>
      </c>
      <c r="M4" s="25" t="s">
        <v>90</v>
      </c>
      <c r="N4" s="25" t="s">
        <v>90</v>
      </c>
      <c r="O4" s="25" t="s">
        <v>90</v>
      </c>
      <c r="P4" s="25" t="s">
        <v>90</v>
      </c>
      <c r="Q4" s="25" t="s">
        <v>256</v>
      </c>
      <c r="R4" s="25" t="s">
        <v>256</v>
      </c>
      <c r="S4" s="25" t="s">
        <v>90</v>
      </c>
      <c r="T4" s="25" t="s">
        <v>90</v>
      </c>
      <c r="U4" s="25" t="s">
        <v>256</v>
      </c>
      <c r="V4" s="25" t="s">
        <v>256</v>
      </c>
      <c r="W4" s="25" t="s">
        <v>90</v>
      </c>
      <c r="X4" s="25" t="s">
        <v>90</v>
      </c>
      <c r="Y4" s="25" t="s">
        <v>90</v>
      </c>
      <c r="Z4" s="25" t="s">
        <v>90</v>
      </c>
      <c r="AA4" s="25" t="s">
        <v>90</v>
      </c>
      <c r="AB4" s="25" t="s">
        <v>90</v>
      </c>
      <c r="AC4" s="25" t="s">
        <v>256</v>
      </c>
      <c r="AD4" s="25" t="s">
        <v>256</v>
      </c>
      <c r="AE4" s="25" t="s">
        <v>90</v>
      </c>
      <c r="AF4" s="25" t="s">
        <v>90</v>
      </c>
      <c r="AG4" s="25" t="s">
        <v>1080</v>
      </c>
      <c r="AH4" s="25" t="s">
        <v>90</v>
      </c>
      <c r="AI4" s="25" t="s">
        <v>1080</v>
      </c>
      <c r="AJ4" s="25" t="s">
        <v>90</v>
      </c>
      <c r="AK4" s="25" t="s">
        <v>1080</v>
      </c>
      <c r="AL4" s="25" t="s">
        <v>90</v>
      </c>
      <c r="AM4" s="25" t="s">
        <v>1080</v>
      </c>
      <c r="AN4" s="25" t="s">
        <v>90</v>
      </c>
      <c r="AO4" s="25" t="s">
        <v>1080</v>
      </c>
      <c r="AP4" s="25" t="s">
        <v>90</v>
      </c>
      <c r="AQ4" s="25" t="s">
        <v>90</v>
      </c>
      <c r="AR4" s="25" t="s">
        <v>90</v>
      </c>
      <c r="AS4" s="25" t="s">
        <v>1143</v>
      </c>
      <c r="AT4" s="25" t="s">
        <v>1144</v>
      </c>
      <c r="AU4" s="25">
        <v>3</v>
      </c>
      <c r="AV4" s="25" t="s">
        <v>1145</v>
      </c>
      <c r="AW4" s="25">
        <v>4</v>
      </c>
      <c r="AX4" s="25" t="s">
        <v>1146</v>
      </c>
      <c r="AY4" s="25" t="s">
        <v>1147</v>
      </c>
      <c r="AZ4" s="25" t="s">
        <v>1148</v>
      </c>
      <c r="BA4" s="25" t="s">
        <v>1149</v>
      </c>
      <c r="BB4" s="25" t="s">
        <v>1150</v>
      </c>
      <c r="BC4" s="25" t="s">
        <v>1151</v>
      </c>
      <c r="BD4" s="25" t="s">
        <v>1152</v>
      </c>
      <c r="BE4" s="26" t="s">
        <v>1153</v>
      </c>
      <c r="BF4" s="26">
        <v>4</v>
      </c>
      <c r="BG4" s="26" t="s">
        <v>1154</v>
      </c>
      <c r="BH4" s="26" t="s">
        <v>620</v>
      </c>
      <c r="BI4" s="26" t="s">
        <v>1155</v>
      </c>
      <c r="BJ4" s="26" t="s">
        <v>620</v>
      </c>
      <c r="BK4" s="26" t="s">
        <v>1156</v>
      </c>
      <c r="BL4" s="26" t="s">
        <v>620</v>
      </c>
      <c r="BM4" s="26" t="s">
        <v>1157</v>
      </c>
      <c r="BN4" s="26" t="s">
        <v>620</v>
      </c>
      <c r="BO4" s="26" t="s">
        <v>1158</v>
      </c>
      <c r="BP4" s="26" t="s">
        <v>620</v>
      </c>
      <c r="BQ4" s="26" t="s">
        <v>1159</v>
      </c>
      <c r="BR4" s="26" t="s">
        <v>620</v>
      </c>
      <c r="BS4" s="26" t="s">
        <v>1160</v>
      </c>
      <c r="BT4" s="26" t="s">
        <v>1161</v>
      </c>
      <c r="BU4" s="26" t="s">
        <v>1162</v>
      </c>
      <c r="BV4" s="26" t="s">
        <v>1099</v>
      </c>
      <c r="BW4" s="27" t="s">
        <v>267</v>
      </c>
      <c r="BX4" s="26" t="s">
        <v>1163</v>
      </c>
    </row>
    <row r="5" spans="1:76" ht="121.5">
      <c r="A5" s="7" t="s">
        <v>285</v>
      </c>
      <c r="B5" s="42" t="s">
        <v>268</v>
      </c>
      <c r="C5" s="19">
        <v>45895</v>
      </c>
      <c r="D5" s="25" t="s">
        <v>1079</v>
      </c>
      <c r="E5" s="25" t="s">
        <v>305</v>
      </c>
      <c r="F5" s="25" t="s">
        <v>305</v>
      </c>
      <c r="G5" s="25" t="s">
        <v>1164</v>
      </c>
      <c r="H5" s="25" t="s">
        <v>1165</v>
      </c>
      <c r="I5" s="25" t="s">
        <v>305</v>
      </c>
      <c r="J5" s="25" t="s">
        <v>305</v>
      </c>
      <c r="K5" s="25" t="s">
        <v>1166</v>
      </c>
      <c r="L5" s="25" t="s">
        <v>1167</v>
      </c>
      <c r="M5" s="25" t="s">
        <v>256</v>
      </c>
      <c r="N5" s="25" t="s">
        <v>256</v>
      </c>
      <c r="O5" s="25" t="s">
        <v>1168</v>
      </c>
      <c r="P5" s="25" t="s">
        <v>1169</v>
      </c>
      <c r="Q5" s="25" t="s">
        <v>305</v>
      </c>
      <c r="R5" s="25" t="s">
        <v>305</v>
      </c>
      <c r="S5" s="25" t="s">
        <v>1170</v>
      </c>
      <c r="T5" s="25" t="s">
        <v>1171</v>
      </c>
      <c r="U5" s="25" t="s">
        <v>256</v>
      </c>
      <c r="V5" s="25" t="s">
        <v>316</v>
      </c>
      <c r="W5" s="25" t="s">
        <v>1172</v>
      </c>
      <c r="X5" s="25" t="s">
        <v>1173</v>
      </c>
      <c r="Y5" s="43" t="s">
        <v>256</v>
      </c>
      <c r="Z5" s="43" t="s">
        <v>256</v>
      </c>
      <c r="AA5" s="25" t="s">
        <v>1174</v>
      </c>
      <c r="AB5" s="25" t="s">
        <v>1175</v>
      </c>
      <c r="AC5" s="25" t="s">
        <v>316</v>
      </c>
      <c r="AD5" s="25" t="s">
        <v>316</v>
      </c>
      <c r="AE5" s="25" t="s">
        <v>1176</v>
      </c>
      <c r="AF5" s="25" t="s">
        <v>1177</v>
      </c>
      <c r="AG5" s="25" t="s">
        <v>1080</v>
      </c>
      <c r="AH5" s="25" t="s">
        <v>1178</v>
      </c>
      <c r="AI5" s="25" t="s">
        <v>1115</v>
      </c>
      <c r="AJ5" s="25" t="s">
        <v>1179</v>
      </c>
      <c r="AK5" s="25" t="s">
        <v>1080</v>
      </c>
      <c r="AL5" s="25" t="s">
        <v>1180</v>
      </c>
      <c r="AM5" s="25" t="s">
        <v>1080</v>
      </c>
      <c r="AN5" s="25" t="s">
        <v>1181</v>
      </c>
      <c r="AO5" s="25" t="s">
        <v>1080</v>
      </c>
      <c r="AP5" s="25" t="s">
        <v>1182</v>
      </c>
      <c r="AQ5" s="25" t="s">
        <v>1080</v>
      </c>
      <c r="AR5" s="25" t="s">
        <v>1183</v>
      </c>
      <c r="AS5" s="25" t="s">
        <v>1184</v>
      </c>
      <c r="AT5" s="25" t="s">
        <v>1185</v>
      </c>
      <c r="AU5" s="25">
        <v>4</v>
      </c>
      <c r="AV5" s="25" t="s">
        <v>1186</v>
      </c>
      <c r="AW5" s="25">
        <v>4</v>
      </c>
      <c r="AX5" s="25" t="s">
        <v>1187</v>
      </c>
      <c r="AY5" s="25" t="s">
        <v>1125</v>
      </c>
      <c r="AZ5" s="25" t="s">
        <v>1188</v>
      </c>
      <c r="BA5" s="25" t="s">
        <v>1189</v>
      </c>
      <c r="BB5" s="25" t="s">
        <v>1190</v>
      </c>
      <c r="BC5" s="25" t="s">
        <v>1191</v>
      </c>
      <c r="BD5" s="25" t="s">
        <v>1192</v>
      </c>
      <c r="BE5" s="26" t="s">
        <v>1193</v>
      </c>
      <c r="BF5" s="26">
        <v>3</v>
      </c>
      <c r="BG5" s="26" t="s">
        <v>1194</v>
      </c>
      <c r="BH5" s="26" t="s">
        <v>316</v>
      </c>
      <c r="BI5" s="26" t="s">
        <v>1195</v>
      </c>
      <c r="BJ5" s="26" t="s">
        <v>620</v>
      </c>
      <c r="BK5" s="26" t="s">
        <v>1196</v>
      </c>
      <c r="BL5" s="26" t="s">
        <v>316</v>
      </c>
      <c r="BM5" s="26" t="s">
        <v>1197</v>
      </c>
      <c r="BN5" s="26" t="s">
        <v>620</v>
      </c>
      <c r="BO5" s="26" t="s">
        <v>1198</v>
      </c>
      <c r="BP5" s="26" t="s">
        <v>316</v>
      </c>
      <c r="BQ5" s="26" t="s">
        <v>1199</v>
      </c>
      <c r="BR5" s="26" t="s">
        <v>620</v>
      </c>
      <c r="BS5" s="26" t="s">
        <v>1200</v>
      </c>
      <c r="BT5" s="26" t="s">
        <v>1201</v>
      </c>
      <c r="BU5" s="26" t="s">
        <v>1202</v>
      </c>
      <c r="BV5" s="26" t="s">
        <v>1099</v>
      </c>
      <c r="BW5" s="27" t="s">
        <v>320</v>
      </c>
      <c r="BX5" s="26" t="s">
        <v>1203</v>
      </c>
    </row>
    <row r="6" spans="1:76" ht="94.5">
      <c r="A6" s="7" t="s">
        <v>303</v>
      </c>
      <c r="B6" s="25" t="s">
        <v>268</v>
      </c>
      <c r="C6" s="19">
        <v>45918</v>
      </c>
      <c r="D6" s="25" t="s">
        <v>1079</v>
      </c>
      <c r="E6" s="25" t="s">
        <v>256</v>
      </c>
      <c r="F6" s="25" t="s">
        <v>256</v>
      </c>
      <c r="G6" s="25" t="s">
        <v>90</v>
      </c>
      <c r="H6" s="25" t="s">
        <v>90</v>
      </c>
      <c r="I6" s="25" t="s">
        <v>256</v>
      </c>
      <c r="J6" s="25" t="s">
        <v>256</v>
      </c>
      <c r="K6" s="25" t="s">
        <v>90</v>
      </c>
      <c r="L6" s="25" t="s">
        <v>90</v>
      </c>
      <c r="M6" s="25" t="s">
        <v>256</v>
      </c>
      <c r="N6" s="25" t="s">
        <v>256</v>
      </c>
      <c r="O6" s="25" t="s">
        <v>90</v>
      </c>
      <c r="P6" s="25" t="s">
        <v>90</v>
      </c>
      <c r="Q6" s="25" t="s">
        <v>256</v>
      </c>
      <c r="R6" s="25" t="s">
        <v>256</v>
      </c>
      <c r="S6" s="25" t="s">
        <v>90</v>
      </c>
      <c r="T6" s="25" t="s">
        <v>90</v>
      </c>
      <c r="U6" s="25" t="s">
        <v>256</v>
      </c>
      <c r="V6" s="25" t="s">
        <v>256</v>
      </c>
      <c r="W6" s="25" t="s">
        <v>90</v>
      </c>
      <c r="X6" s="25" t="s">
        <v>90</v>
      </c>
      <c r="Y6" s="25" t="s">
        <v>256</v>
      </c>
      <c r="Z6" s="25" t="s">
        <v>256</v>
      </c>
      <c r="AA6" s="25" t="s">
        <v>90</v>
      </c>
      <c r="AB6" s="25" t="s">
        <v>90</v>
      </c>
      <c r="AC6" s="25" t="s">
        <v>256</v>
      </c>
      <c r="AD6" s="25" t="s">
        <v>256</v>
      </c>
      <c r="AE6" s="25" t="s">
        <v>90</v>
      </c>
      <c r="AF6" s="25" t="s">
        <v>90</v>
      </c>
      <c r="AG6" s="25" t="s">
        <v>1080</v>
      </c>
      <c r="AH6" s="25" t="s">
        <v>90</v>
      </c>
      <c r="AI6" s="25" t="s">
        <v>1080</v>
      </c>
      <c r="AJ6" s="25" t="s">
        <v>90</v>
      </c>
      <c r="AK6" s="25" t="s">
        <v>1080</v>
      </c>
      <c r="AL6" s="25" t="s">
        <v>90</v>
      </c>
      <c r="AM6" s="25" t="s">
        <v>1080</v>
      </c>
      <c r="AN6" s="25" t="s">
        <v>90</v>
      </c>
      <c r="AO6" s="25" t="s">
        <v>1080</v>
      </c>
      <c r="AP6" s="25" t="s">
        <v>90</v>
      </c>
      <c r="AQ6" s="25" t="s">
        <v>90</v>
      </c>
      <c r="AR6" s="25" t="s">
        <v>90</v>
      </c>
      <c r="AS6" s="25" t="s">
        <v>1204</v>
      </c>
      <c r="AT6" s="25">
        <v>60</v>
      </c>
      <c r="AU6" s="25">
        <v>4</v>
      </c>
      <c r="AV6" s="25" t="s">
        <v>1205</v>
      </c>
      <c r="AW6" s="25">
        <v>4</v>
      </c>
      <c r="AX6" s="25" t="s">
        <v>1206</v>
      </c>
      <c r="AY6" s="25" t="s">
        <v>1207</v>
      </c>
      <c r="AZ6" s="25" t="s">
        <v>1208</v>
      </c>
      <c r="BA6" s="25" t="s">
        <v>1209</v>
      </c>
      <c r="BB6" s="25" t="s">
        <v>1210</v>
      </c>
      <c r="BC6" s="25" t="s">
        <v>1211</v>
      </c>
      <c r="BD6" s="25" t="s">
        <v>1212</v>
      </c>
      <c r="BE6" s="26" t="s">
        <v>1213</v>
      </c>
      <c r="BF6" s="26">
        <v>4</v>
      </c>
      <c r="BG6" s="26" t="s">
        <v>1214</v>
      </c>
      <c r="BH6" s="26" t="s">
        <v>620</v>
      </c>
      <c r="BI6" s="26" t="s">
        <v>1215</v>
      </c>
      <c r="BJ6" s="26" t="s">
        <v>620</v>
      </c>
      <c r="BK6" s="26" t="s">
        <v>1216</v>
      </c>
      <c r="BL6" s="26" t="s">
        <v>620</v>
      </c>
      <c r="BM6" s="26" t="s">
        <v>1217</v>
      </c>
      <c r="BN6" s="26" t="s">
        <v>620</v>
      </c>
      <c r="BO6" s="26" t="s">
        <v>90</v>
      </c>
      <c r="BP6" s="26" t="s">
        <v>620</v>
      </c>
      <c r="BQ6" s="26" t="s">
        <v>1218</v>
      </c>
      <c r="BR6" s="26" t="s">
        <v>1219</v>
      </c>
      <c r="BS6" s="26" t="s">
        <v>1220</v>
      </c>
      <c r="BT6" s="26" t="s">
        <v>1221</v>
      </c>
      <c r="BU6" s="26" t="s">
        <v>90</v>
      </c>
      <c r="BV6" s="26" t="s">
        <v>1099</v>
      </c>
      <c r="BW6" s="27" t="s">
        <v>320</v>
      </c>
      <c r="BX6" s="26" t="s">
        <v>1222</v>
      </c>
    </row>
    <row r="7" spans="1:76" ht="121.5">
      <c r="A7" s="7" t="s">
        <v>321</v>
      </c>
      <c r="B7" s="42" t="s">
        <v>322</v>
      </c>
      <c r="C7" s="19">
        <v>45929</v>
      </c>
      <c r="D7" s="25" t="s">
        <v>1079</v>
      </c>
      <c r="E7" s="25" t="s">
        <v>256</v>
      </c>
      <c r="F7" s="25" t="s">
        <v>256</v>
      </c>
      <c r="G7" s="25" t="s">
        <v>90</v>
      </c>
      <c r="H7" s="25" t="s">
        <v>90</v>
      </c>
      <c r="I7" s="25" t="s">
        <v>256</v>
      </c>
      <c r="J7" s="25" t="s">
        <v>256</v>
      </c>
      <c r="K7" s="25" t="s">
        <v>90</v>
      </c>
      <c r="L7" s="25" t="s">
        <v>90</v>
      </c>
      <c r="M7" s="25" t="s">
        <v>256</v>
      </c>
      <c r="N7" s="25" t="s">
        <v>256</v>
      </c>
      <c r="O7" s="25" t="s">
        <v>90</v>
      </c>
      <c r="P7" s="25" t="s">
        <v>90</v>
      </c>
      <c r="Q7" s="25" t="s">
        <v>256</v>
      </c>
      <c r="R7" s="25" t="s">
        <v>256</v>
      </c>
      <c r="S7" s="25" t="s">
        <v>90</v>
      </c>
      <c r="T7" s="25" t="s">
        <v>90</v>
      </c>
      <c r="U7" s="25" t="s">
        <v>256</v>
      </c>
      <c r="V7" s="25" t="s">
        <v>256</v>
      </c>
      <c r="W7" s="25" t="s">
        <v>90</v>
      </c>
      <c r="X7" s="25" t="s">
        <v>90</v>
      </c>
      <c r="Y7" s="25" t="s">
        <v>256</v>
      </c>
      <c r="Z7" s="25" t="s">
        <v>256</v>
      </c>
      <c r="AA7" s="25" t="s">
        <v>90</v>
      </c>
      <c r="AB7" s="25" t="s">
        <v>90</v>
      </c>
      <c r="AC7" s="25" t="s">
        <v>256</v>
      </c>
      <c r="AD7" s="25" t="s">
        <v>256</v>
      </c>
      <c r="AE7" s="25" t="s">
        <v>90</v>
      </c>
      <c r="AF7" s="25" t="s">
        <v>90</v>
      </c>
      <c r="AG7" s="25" t="s">
        <v>1080</v>
      </c>
      <c r="AH7" s="25" t="s">
        <v>90</v>
      </c>
      <c r="AI7" s="25" t="s">
        <v>1080</v>
      </c>
      <c r="AJ7" s="25" t="s">
        <v>90</v>
      </c>
      <c r="AK7" s="25" t="s">
        <v>1080</v>
      </c>
      <c r="AL7" s="25" t="s">
        <v>90</v>
      </c>
      <c r="AM7" s="25" t="s">
        <v>1080</v>
      </c>
      <c r="AN7" s="25" t="s">
        <v>90</v>
      </c>
      <c r="AO7" s="25" t="s">
        <v>1080</v>
      </c>
      <c r="AP7" s="25" t="s">
        <v>90</v>
      </c>
      <c r="AQ7" s="25" t="s">
        <v>1080</v>
      </c>
      <c r="AR7" s="25" t="s">
        <v>90</v>
      </c>
      <c r="AS7" s="25" t="s">
        <v>1223</v>
      </c>
      <c r="AT7" s="25" t="s">
        <v>1224</v>
      </c>
      <c r="AU7" s="25">
        <v>3</v>
      </c>
      <c r="AV7" s="25" t="s">
        <v>1225</v>
      </c>
      <c r="AW7" s="25">
        <v>4</v>
      </c>
      <c r="AX7" s="25" t="s">
        <v>1226</v>
      </c>
      <c r="AY7" s="25" t="s">
        <v>1227</v>
      </c>
      <c r="AZ7" s="25" t="s">
        <v>1228</v>
      </c>
      <c r="BA7" s="25" t="s">
        <v>1229</v>
      </c>
      <c r="BB7" s="25" t="s">
        <v>1230</v>
      </c>
      <c r="BC7" s="25" t="s">
        <v>1231</v>
      </c>
      <c r="BD7" s="25" t="s">
        <v>1232</v>
      </c>
      <c r="BE7" s="26" t="s">
        <v>1233</v>
      </c>
      <c r="BF7" s="26">
        <v>4</v>
      </c>
      <c r="BG7" s="26" t="s">
        <v>1234</v>
      </c>
      <c r="BH7" s="26" t="s">
        <v>620</v>
      </c>
      <c r="BI7" s="26" t="s">
        <v>1235</v>
      </c>
      <c r="BJ7" s="26" t="s">
        <v>1236</v>
      </c>
      <c r="BK7" s="26" t="s">
        <v>1237</v>
      </c>
      <c r="BL7" s="26" t="s">
        <v>620</v>
      </c>
      <c r="BM7" s="26" t="s">
        <v>1238</v>
      </c>
      <c r="BN7" s="26" t="s">
        <v>620</v>
      </c>
      <c r="BO7" s="26" t="s">
        <v>1239</v>
      </c>
      <c r="BP7" s="26" t="s">
        <v>620</v>
      </c>
      <c r="BQ7" s="26" t="s">
        <v>1240</v>
      </c>
      <c r="BR7" s="26" t="s">
        <v>620</v>
      </c>
      <c r="BS7" s="26" t="s">
        <v>1241</v>
      </c>
      <c r="BT7" s="26" t="s">
        <v>1242</v>
      </c>
      <c r="BU7" s="26" t="s">
        <v>1243</v>
      </c>
      <c r="BV7" s="26" t="s">
        <v>1099</v>
      </c>
      <c r="BW7" s="27" t="s">
        <v>267</v>
      </c>
      <c r="BX7" s="26" t="s">
        <v>1244</v>
      </c>
    </row>
    <row r="8" spans="1:76" ht="135">
      <c r="A8" s="7" t="s">
        <v>323</v>
      </c>
      <c r="B8" s="42" t="s">
        <v>322</v>
      </c>
      <c r="C8" s="19">
        <v>45946</v>
      </c>
      <c r="D8" s="25" t="s">
        <v>1079</v>
      </c>
      <c r="E8" s="25" t="s">
        <v>256</v>
      </c>
      <c r="F8" s="25" t="s">
        <v>256</v>
      </c>
      <c r="G8" s="25" t="s">
        <v>90</v>
      </c>
      <c r="H8" s="25" t="s">
        <v>90</v>
      </c>
      <c r="I8" s="25" t="s">
        <v>256</v>
      </c>
      <c r="J8" s="25" t="s">
        <v>256</v>
      </c>
      <c r="K8" s="25" t="s">
        <v>90</v>
      </c>
      <c r="L8" s="25" t="s">
        <v>90</v>
      </c>
      <c r="M8" s="25" t="s">
        <v>256</v>
      </c>
      <c r="N8" s="25" t="s">
        <v>256</v>
      </c>
      <c r="O8" s="25" t="s">
        <v>90</v>
      </c>
      <c r="P8" s="25" t="s">
        <v>90</v>
      </c>
      <c r="Q8" s="25" t="s">
        <v>256</v>
      </c>
      <c r="R8" s="25" t="s">
        <v>256</v>
      </c>
      <c r="S8" s="25" t="s">
        <v>90</v>
      </c>
      <c r="T8" s="25" t="s">
        <v>90</v>
      </c>
      <c r="U8" s="25" t="s">
        <v>256</v>
      </c>
      <c r="V8" s="25" t="s">
        <v>256</v>
      </c>
      <c r="W8" s="25" t="s">
        <v>90</v>
      </c>
      <c r="X8" s="25" t="s">
        <v>90</v>
      </c>
      <c r="Y8" s="25" t="s">
        <v>256</v>
      </c>
      <c r="Z8" s="25" t="s">
        <v>256</v>
      </c>
      <c r="AA8" s="25" t="s">
        <v>90</v>
      </c>
      <c r="AB8" s="25" t="s">
        <v>90</v>
      </c>
      <c r="AC8" s="25" t="s">
        <v>256</v>
      </c>
      <c r="AD8" s="25" t="s">
        <v>256</v>
      </c>
      <c r="AE8" s="25" t="s">
        <v>90</v>
      </c>
      <c r="AF8" s="25" t="s">
        <v>90</v>
      </c>
      <c r="AG8" s="25" t="s">
        <v>1080</v>
      </c>
      <c r="AH8" s="25" t="s">
        <v>90</v>
      </c>
      <c r="AI8" s="25" t="s">
        <v>1080</v>
      </c>
      <c r="AJ8" s="25" t="s">
        <v>90</v>
      </c>
      <c r="AK8" s="25" t="s">
        <v>1080</v>
      </c>
      <c r="AL8" s="25" t="s">
        <v>90</v>
      </c>
      <c r="AM8" s="25" t="s">
        <v>1080</v>
      </c>
      <c r="AN8" s="25" t="s">
        <v>90</v>
      </c>
      <c r="AO8" s="25" t="s">
        <v>1080</v>
      </c>
      <c r="AP8" s="25" t="s">
        <v>90</v>
      </c>
      <c r="AQ8" s="25" t="s">
        <v>1080</v>
      </c>
      <c r="AR8" s="25" t="s">
        <v>90</v>
      </c>
      <c r="AS8" s="25" t="s">
        <v>1245</v>
      </c>
      <c r="AT8" s="25">
        <v>100</v>
      </c>
      <c r="AU8" s="25">
        <v>3</v>
      </c>
      <c r="AV8" s="25" t="s">
        <v>1246</v>
      </c>
      <c r="AW8" s="25">
        <v>5</v>
      </c>
      <c r="AX8" s="25" t="s">
        <v>1247</v>
      </c>
      <c r="AY8" s="25" t="s">
        <v>1248</v>
      </c>
      <c r="AZ8" s="25" t="s">
        <v>1249</v>
      </c>
      <c r="BA8" s="25" t="s">
        <v>1250</v>
      </c>
      <c r="BB8" s="25" t="s">
        <v>1251</v>
      </c>
      <c r="BC8" s="25" t="s">
        <v>1252</v>
      </c>
      <c r="BD8" s="25" t="s">
        <v>1253</v>
      </c>
      <c r="BE8" s="26" t="s">
        <v>1254</v>
      </c>
      <c r="BF8" s="26">
        <v>4</v>
      </c>
      <c r="BG8" s="26" t="s">
        <v>1255</v>
      </c>
      <c r="BH8" s="26" t="s">
        <v>620</v>
      </c>
      <c r="BI8" s="26" t="s">
        <v>1256</v>
      </c>
      <c r="BJ8" s="26" t="s">
        <v>1236</v>
      </c>
      <c r="BK8" s="26" t="s">
        <v>1257</v>
      </c>
      <c r="BL8" s="26" t="s">
        <v>620</v>
      </c>
      <c r="BM8" s="26" t="s">
        <v>1258</v>
      </c>
      <c r="BN8" s="26" t="s">
        <v>620</v>
      </c>
      <c r="BO8" s="26" t="s">
        <v>1259</v>
      </c>
      <c r="BP8" s="26" t="s">
        <v>620</v>
      </c>
      <c r="BQ8" s="26" t="s">
        <v>1260</v>
      </c>
      <c r="BR8" s="26" t="s">
        <v>620</v>
      </c>
      <c r="BS8" s="26" t="s">
        <v>1261</v>
      </c>
      <c r="BT8" s="26" t="s">
        <v>1262</v>
      </c>
      <c r="BU8" s="26" t="s">
        <v>1263</v>
      </c>
      <c r="BV8" s="26" t="s">
        <v>1099</v>
      </c>
      <c r="BW8" s="27" t="s">
        <v>320</v>
      </c>
      <c r="BX8" s="26" t="s">
        <v>1264</v>
      </c>
    </row>
    <row r="9" spans="1:76" ht="121.5">
      <c r="A9" s="7" t="s">
        <v>179</v>
      </c>
      <c r="B9" s="42" t="s">
        <v>322</v>
      </c>
      <c r="C9" s="19">
        <v>45940</v>
      </c>
      <c r="D9" s="25" t="s">
        <v>1079</v>
      </c>
      <c r="E9" s="25" t="s">
        <v>256</v>
      </c>
      <c r="F9" s="25" t="s">
        <v>256</v>
      </c>
      <c r="G9" s="25" t="s">
        <v>1265</v>
      </c>
      <c r="H9" s="25" t="s">
        <v>90</v>
      </c>
      <c r="I9" s="25" t="s">
        <v>256</v>
      </c>
      <c r="J9" s="25" t="s">
        <v>256</v>
      </c>
      <c r="K9" s="25" t="s">
        <v>1266</v>
      </c>
      <c r="L9" s="25" t="s">
        <v>1267</v>
      </c>
      <c r="M9" s="25" t="s">
        <v>256</v>
      </c>
      <c r="N9" s="25" t="s">
        <v>256</v>
      </c>
      <c r="O9" s="25" t="s">
        <v>1268</v>
      </c>
      <c r="P9" s="25" t="s">
        <v>1269</v>
      </c>
      <c r="Q9" s="25" t="s">
        <v>256</v>
      </c>
      <c r="R9" s="25" t="s">
        <v>256</v>
      </c>
      <c r="S9" s="25" t="s">
        <v>1270</v>
      </c>
      <c r="T9" s="25" t="s">
        <v>90</v>
      </c>
      <c r="U9" s="25" t="s">
        <v>256</v>
      </c>
      <c r="V9" s="25" t="s">
        <v>256</v>
      </c>
      <c r="W9" s="25" t="s">
        <v>1271</v>
      </c>
      <c r="X9" s="25" t="s">
        <v>1272</v>
      </c>
      <c r="Y9" s="25" t="s">
        <v>256</v>
      </c>
      <c r="Z9" s="25" t="s">
        <v>256</v>
      </c>
      <c r="AA9" s="25" t="s">
        <v>1273</v>
      </c>
      <c r="AB9" s="25" t="s">
        <v>1274</v>
      </c>
      <c r="AC9" s="25" t="s">
        <v>256</v>
      </c>
      <c r="AD9" s="25" t="s">
        <v>256</v>
      </c>
      <c r="AE9" s="25" t="s">
        <v>1275</v>
      </c>
      <c r="AF9" s="25" t="s">
        <v>1269</v>
      </c>
      <c r="AG9" s="25" t="s">
        <v>1080</v>
      </c>
      <c r="AH9" s="25" t="s">
        <v>90</v>
      </c>
      <c r="AI9" s="25" t="s">
        <v>1080</v>
      </c>
      <c r="AJ9" s="25" t="s">
        <v>90</v>
      </c>
      <c r="AK9" s="25" t="s">
        <v>1080</v>
      </c>
      <c r="AL9" s="25" t="s">
        <v>1276</v>
      </c>
      <c r="AM9" s="25" t="s">
        <v>1080</v>
      </c>
      <c r="AN9" s="25" t="s">
        <v>1277</v>
      </c>
      <c r="AO9" s="25" t="s">
        <v>1080</v>
      </c>
      <c r="AP9" s="25" t="s">
        <v>1278</v>
      </c>
      <c r="AQ9" s="25" t="s">
        <v>1080</v>
      </c>
      <c r="AR9" s="25" t="s">
        <v>1279</v>
      </c>
      <c r="AS9" s="25" t="s">
        <v>1280</v>
      </c>
      <c r="AT9" s="25" t="s">
        <v>1281</v>
      </c>
      <c r="AU9" s="25">
        <v>4</v>
      </c>
      <c r="AV9" s="25" t="s">
        <v>1282</v>
      </c>
      <c r="AW9" s="25">
        <v>4</v>
      </c>
      <c r="AX9" s="25" t="s">
        <v>1283</v>
      </c>
      <c r="AY9" s="25" t="s">
        <v>1207</v>
      </c>
      <c r="AZ9" s="25" t="s">
        <v>1284</v>
      </c>
      <c r="BA9" s="25" t="s">
        <v>1285</v>
      </c>
      <c r="BB9" s="25" t="s">
        <v>1286</v>
      </c>
      <c r="BC9" s="25" t="s">
        <v>1287</v>
      </c>
      <c r="BD9" s="25" t="s">
        <v>1288</v>
      </c>
      <c r="BE9" s="26" t="s">
        <v>1289</v>
      </c>
      <c r="BF9" s="26">
        <v>4</v>
      </c>
      <c r="BG9" s="26" t="s">
        <v>1290</v>
      </c>
      <c r="BH9" s="26" t="s">
        <v>620</v>
      </c>
      <c r="BI9" s="26" t="s">
        <v>1291</v>
      </c>
      <c r="BJ9" s="34" t="s">
        <v>1236</v>
      </c>
      <c r="BK9" s="26" t="s">
        <v>1292</v>
      </c>
      <c r="BL9" s="26" t="s">
        <v>620</v>
      </c>
      <c r="BM9" s="26" t="s">
        <v>1293</v>
      </c>
      <c r="BN9" s="26" t="s">
        <v>620</v>
      </c>
      <c r="BO9" s="26" t="s">
        <v>1294</v>
      </c>
      <c r="BP9" s="26" t="s">
        <v>620</v>
      </c>
      <c r="BQ9" s="26" t="s">
        <v>1295</v>
      </c>
      <c r="BR9" s="26" t="s">
        <v>620</v>
      </c>
      <c r="BS9" s="26" t="s">
        <v>1296</v>
      </c>
      <c r="BT9" s="26" t="s">
        <v>1297</v>
      </c>
      <c r="BU9" s="26" t="s">
        <v>1298</v>
      </c>
      <c r="BV9" s="26" t="s">
        <v>1099</v>
      </c>
      <c r="BW9" s="27" t="s">
        <v>320</v>
      </c>
      <c r="BX9" s="26" t="s">
        <v>1299</v>
      </c>
    </row>
    <row r="10" spans="1:76" ht="94.5">
      <c r="A10" s="7" t="s">
        <v>338</v>
      </c>
      <c r="B10" s="42" t="s">
        <v>322</v>
      </c>
      <c r="C10" s="19">
        <v>45960</v>
      </c>
      <c r="D10" s="25" t="s">
        <v>1079</v>
      </c>
      <c r="E10" s="25" t="s">
        <v>256</v>
      </c>
      <c r="F10" s="25" t="s">
        <v>256</v>
      </c>
      <c r="G10" s="25" t="s">
        <v>1300</v>
      </c>
      <c r="H10" s="25" t="s">
        <v>90</v>
      </c>
      <c r="I10" s="25" t="s">
        <v>256</v>
      </c>
      <c r="J10" s="25" t="s">
        <v>256</v>
      </c>
      <c r="K10" s="25" t="s">
        <v>1301</v>
      </c>
      <c r="L10" s="25" t="s">
        <v>1302</v>
      </c>
      <c r="M10" s="25" t="s">
        <v>256</v>
      </c>
      <c r="N10" s="25" t="s">
        <v>256</v>
      </c>
      <c r="O10" s="25" t="s">
        <v>1303</v>
      </c>
      <c r="P10" s="25" t="s">
        <v>1304</v>
      </c>
      <c r="Q10" s="25" t="s">
        <v>256</v>
      </c>
      <c r="R10" s="25" t="s">
        <v>256</v>
      </c>
      <c r="S10" s="25" t="s">
        <v>1305</v>
      </c>
      <c r="T10" s="25" t="s">
        <v>1306</v>
      </c>
      <c r="U10" s="25" t="s">
        <v>256</v>
      </c>
      <c r="V10" s="25" t="s">
        <v>256</v>
      </c>
      <c r="W10" s="25" t="s">
        <v>1307</v>
      </c>
      <c r="X10" s="25" t="s">
        <v>1308</v>
      </c>
      <c r="Y10" s="25" t="s">
        <v>256</v>
      </c>
      <c r="Z10" s="25" t="s">
        <v>256</v>
      </c>
      <c r="AA10" s="25" t="s">
        <v>1309</v>
      </c>
      <c r="AB10" s="25" t="s">
        <v>1310</v>
      </c>
      <c r="AC10" s="25" t="s">
        <v>256</v>
      </c>
      <c r="AD10" s="25" t="s">
        <v>256</v>
      </c>
      <c r="AE10" s="25" t="s">
        <v>1311</v>
      </c>
      <c r="AF10" s="25" t="s">
        <v>90</v>
      </c>
      <c r="AG10" s="25" t="s">
        <v>1080</v>
      </c>
      <c r="AH10" s="25" t="s">
        <v>1312</v>
      </c>
      <c r="AI10" s="25" t="s">
        <v>1080</v>
      </c>
      <c r="AJ10" s="25" t="s">
        <v>90</v>
      </c>
      <c r="AK10" s="25" t="s">
        <v>1080</v>
      </c>
      <c r="AL10" s="25" t="s">
        <v>1313</v>
      </c>
      <c r="AM10" s="25" t="s">
        <v>1080</v>
      </c>
      <c r="AN10" s="25" t="s">
        <v>1314</v>
      </c>
      <c r="AO10" s="25" t="s">
        <v>1080</v>
      </c>
      <c r="AP10" s="25" t="s">
        <v>1315</v>
      </c>
      <c r="AQ10" s="25" t="s">
        <v>1080</v>
      </c>
      <c r="AR10" s="25" t="s">
        <v>1316</v>
      </c>
      <c r="AS10" s="25" t="s">
        <v>1317</v>
      </c>
      <c r="AT10" s="25" t="s">
        <v>1318</v>
      </c>
      <c r="AU10" s="25">
        <v>4</v>
      </c>
      <c r="AV10" s="25" t="s">
        <v>1319</v>
      </c>
      <c r="AW10" s="25">
        <v>4</v>
      </c>
      <c r="AX10" s="25" t="s">
        <v>1320</v>
      </c>
      <c r="AY10" s="25" t="s">
        <v>1321</v>
      </c>
      <c r="AZ10" s="25" t="s">
        <v>1322</v>
      </c>
      <c r="BA10" s="25" t="s">
        <v>1323</v>
      </c>
      <c r="BB10" s="25" t="s">
        <v>1324</v>
      </c>
      <c r="BC10" s="25" t="s">
        <v>1325</v>
      </c>
      <c r="BD10" s="25" t="s">
        <v>1326</v>
      </c>
      <c r="BE10" s="26" t="s">
        <v>1309</v>
      </c>
      <c r="BF10" s="26">
        <v>4</v>
      </c>
      <c r="BG10" s="26" t="s">
        <v>1327</v>
      </c>
      <c r="BH10" s="26" t="s">
        <v>1328</v>
      </c>
      <c r="BI10" s="26" t="s">
        <v>1329</v>
      </c>
      <c r="BJ10" s="26" t="s">
        <v>1236</v>
      </c>
      <c r="BK10" s="26" t="s">
        <v>1330</v>
      </c>
      <c r="BL10" s="26" t="s">
        <v>620</v>
      </c>
      <c r="BM10" s="26" t="s">
        <v>1331</v>
      </c>
      <c r="BN10" s="26" t="s">
        <v>1332</v>
      </c>
      <c r="BO10" s="26" t="s">
        <v>1333</v>
      </c>
      <c r="BP10" s="26" t="s">
        <v>1334</v>
      </c>
      <c r="BQ10" s="26" t="s">
        <v>1335</v>
      </c>
      <c r="BR10" s="26" t="s">
        <v>1219</v>
      </c>
      <c r="BS10" s="26" t="s">
        <v>1336</v>
      </c>
      <c r="BT10" s="26" t="s">
        <v>90</v>
      </c>
      <c r="BU10" s="26" t="s">
        <v>1337</v>
      </c>
      <c r="BV10" s="26" t="s">
        <v>1099</v>
      </c>
      <c r="BW10" s="27" t="s">
        <v>267</v>
      </c>
      <c r="BX10" s="26" t="s">
        <v>1338</v>
      </c>
    </row>
    <row r="11" spans="1:76" ht="81">
      <c r="A11" s="7" t="s">
        <v>352</v>
      </c>
      <c r="B11" s="42" t="s">
        <v>322</v>
      </c>
      <c r="C11" s="19">
        <v>45975</v>
      </c>
      <c r="D11" s="25" t="s">
        <v>1079</v>
      </c>
      <c r="E11" s="25" t="s">
        <v>256</v>
      </c>
      <c r="F11" s="25" t="s">
        <v>256</v>
      </c>
      <c r="G11" s="25" t="s">
        <v>1339</v>
      </c>
      <c r="H11" s="25" t="s">
        <v>1340</v>
      </c>
      <c r="I11" s="25" t="s">
        <v>256</v>
      </c>
      <c r="J11" s="25" t="s">
        <v>256</v>
      </c>
      <c r="K11" s="25" t="s">
        <v>1341</v>
      </c>
      <c r="L11" s="25" t="s">
        <v>1342</v>
      </c>
      <c r="M11" s="25" t="s">
        <v>256</v>
      </c>
      <c r="N11" s="25" t="s">
        <v>256</v>
      </c>
      <c r="O11" s="25" t="s">
        <v>1343</v>
      </c>
      <c r="P11" s="25" t="s">
        <v>1344</v>
      </c>
      <c r="Q11" s="25" t="s">
        <v>256</v>
      </c>
      <c r="R11" s="25" t="s">
        <v>256</v>
      </c>
      <c r="S11" s="25" t="s">
        <v>1345</v>
      </c>
      <c r="T11" s="25" t="s">
        <v>1346</v>
      </c>
      <c r="U11" s="25" t="s">
        <v>256</v>
      </c>
      <c r="V11" s="25" t="s">
        <v>256</v>
      </c>
      <c r="W11" s="25" t="s">
        <v>1347</v>
      </c>
      <c r="X11" s="25" t="s">
        <v>1348</v>
      </c>
      <c r="Y11" s="25" t="s">
        <v>256</v>
      </c>
      <c r="Z11" s="25" t="s">
        <v>256</v>
      </c>
      <c r="AA11" s="25" t="s">
        <v>1349</v>
      </c>
      <c r="AB11" s="25" t="s">
        <v>1350</v>
      </c>
      <c r="AC11" s="25" t="s">
        <v>256</v>
      </c>
      <c r="AD11" s="25" t="s">
        <v>256</v>
      </c>
      <c r="AE11" s="25" t="s">
        <v>1351</v>
      </c>
      <c r="AF11" s="25" t="s">
        <v>1352</v>
      </c>
      <c r="AG11" s="25" t="s">
        <v>1080</v>
      </c>
      <c r="AH11" s="25" t="s">
        <v>1353</v>
      </c>
      <c r="AI11" s="25" t="s">
        <v>1080</v>
      </c>
      <c r="AJ11" s="25" t="s">
        <v>90</v>
      </c>
      <c r="AK11" s="25" t="s">
        <v>1080</v>
      </c>
      <c r="AL11" s="25" t="s">
        <v>1354</v>
      </c>
      <c r="AM11" s="25" t="s">
        <v>1080</v>
      </c>
      <c r="AN11" s="25" t="s">
        <v>1355</v>
      </c>
      <c r="AO11" s="25" t="s">
        <v>1080</v>
      </c>
      <c r="AP11" s="25" t="s">
        <v>1356</v>
      </c>
      <c r="AQ11" s="25" t="s">
        <v>1080</v>
      </c>
      <c r="AR11" s="25" t="s">
        <v>1357</v>
      </c>
      <c r="AS11" s="25" t="s">
        <v>1358</v>
      </c>
      <c r="AT11" s="25" t="s">
        <v>1359</v>
      </c>
      <c r="AU11" s="25">
        <v>4</v>
      </c>
      <c r="AV11" s="25" t="s">
        <v>1360</v>
      </c>
      <c r="AW11" s="25">
        <v>4</v>
      </c>
      <c r="AX11" s="25" t="s">
        <v>1361</v>
      </c>
      <c r="AY11" s="25" t="s">
        <v>1362</v>
      </c>
      <c r="AZ11" s="25" t="s">
        <v>1363</v>
      </c>
      <c r="BA11" s="25" t="s">
        <v>1364</v>
      </c>
      <c r="BB11" s="25" t="s">
        <v>1365</v>
      </c>
      <c r="BC11" s="25" t="s">
        <v>1366</v>
      </c>
      <c r="BD11" s="25" t="s">
        <v>1367</v>
      </c>
      <c r="BE11" s="26" t="s">
        <v>1368</v>
      </c>
      <c r="BF11" s="26">
        <v>4</v>
      </c>
      <c r="BG11" s="26" t="s">
        <v>1369</v>
      </c>
      <c r="BH11" s="26" t="s">
        <v>90</v>
      </c>
      <c r="BI11" s="26" t="s">
        <v>1370</v>
      </c>
      <c r="BJ11" s="26" t="s">
        <v>90</v>
      </c>
      <c r="BK11" s="26" t="s">
        <v>1371</v>
      </c>
      <c r="BL11" s="26" t="s">
        <v>305</v>
      </c>
      <c r="BM11" s="26" t="s">
        <v>1372</v>
      </c>
      <c r="BN11" s="26" t="s">
        <v>620</v>
      </c>
      <c r="BO11" s="26" t="s">
        <v>1373</v>
      </c>
      <c r="BP11" s="26" t="s">
        <v>620</v>
      </c>
      <c r="BQ11" s="26" t="s">
        <v>1374</v>
      </c>
      <c r="BR11" s="26" t="s">
        <v>1219</v>
      </c>
      <c r="BS11" s="26" t="s">
        <v>1375</v>
      </c>
      <c r="BT11" s="26" t="s">
        <v>1376</v>
      </c>
      <c r="BU11" s="26" t="s">
        <v>1377</v>
      </c>
      <c r="BV11" s="26" t="s">
        <v>1099</v>
      </c>
      <c r="BW11" s="27" t="s">
        <v>267</v>
      </c>
      <c r="BX11" s="26" t="s">
        <v>1378</v>
      </c>
    </row>
    <row r="12" spans="1:76" ht="81">
      <c r="A12" s="67" t="s">
        <v>1379</v>
      </c>
      <c r="B12" s="42" t="s">
        <v>322</v>
      </c>
      <c r="C12" s="70">
        <v>45983</v>
      </c>
      <c r="D12" s="68" t="s">
        <v>1380</v>
      </c>
      <c r="E12" s="68" t="s">
        <v>256</v>
      </c>
      <c r="F12" s="68" t="s">
        <v>256</v>
      </c>
      <c r="G12" s="68" t="s">
        <v>90</v>
      </c>
      <c r="H12" s="68" t="s">
        <v>90</v>
      </c>
      <c r="I12" s="68" t="s">
        <v>256</v>
      </c>
      <c r="J12" s="68" t="s">
        <v>256</v>
      </c>
      <c r="K12" s="68" t="s">
        <v>90</v>
      </c>
      <c r="L12" s="68" t="s">
        <v>90</v>
      </c>
      <c r="M12" s="68" t="s">
        <v>256</v>
      </c>
      <c r="N12" s="68" t="s">
        <v>256</v>
      </c>
      <c r="O12" s="68" t="s">
        <v>90</v>
      </c>
      <c r="P12" s="68" t="s">
        <v>90</v>
      </c>
      <c r="Q12" s="68" t="s">
        <v>256</v>
      </c>
      <c r="R12" s="68" t="s">
        <v>256</v>
      </c>
      <c r="S12" s="68" t="s">
        <v>90</v>
      </c>
      <c r="T12" s="68" t="s">
        <v>90</v>
      </c>
      <c r="U12" s="68" t="s">
        <v>256</v>
      </c>
      <c r="V12" s="68" t="s">
        <v>256</v>
      </c>
      <c r="W12" s="68" t="s">
        <v>90</v>
      </c>
      <c r="X12" s="68" t="s">
        <v>90</v>
      </c>
      <c r="Y12" s="68" t="s">
        <v>256</v>
      </c>
      <c r="Z12" s="68" t="s">
        <v>256</v>
      </c>
      <c r="AA12" s="68" t="s">
        <v>90</v>
      </c>
      <c r="AB12" s="68" t="s">
        <v>90</v>
      </c>
      <c r="AC12" s="68" t="s">
        <v>256</v>
      </c>
      <c r="AD12" s="68" t="s">
        <v>256</v>
      </c>
      <c r="AE12" s="68" t="s">
        <v>90</v>
      </c>
      <c r="AF12" s="68" t="s">
        <v>90</v>
      </c>
      <c r="AG12" s="68" t="s">
        <v>1080</v>
      </c>
      <c r="AH12" s="68" t="s">
        <v>90</v>
      </c>
      <c r="AI12" s="68" t="s">
        <v>1080</v>
      </c>
      <c r="AJ12" s="68" t="s">
        <v>90</v>
      </c>
      <c r="AK12" s="68" t="s">
        <v>1080</v>
      </c>
      <c r="AL12" s="68" t="s">
        <v>1381</v>
      </c>
      <c r="AM12" s="68" t="s">
        <v>1080</v>
      </c>
      <c r="AN12" s="68" t="s">
        <v>90</v>
      </c>
      <c r="AO12" s="68" t="s">
        <v>1080</v>
      </c>
      <c r="AP12" s="68" t="s">
        <v>1382</v>
      </c>
      <c r="AQ12" s="68" t="s">
        <v>1080</v>
      </c>
      <c r="AR12" s="68" t="s">
        <v>1383</v>
      </c>
      <c r="AS12" s="68" t="s">
        <v>1384</v>
      </c>
      <c r="AT12" s="68" t="s">
        <v>1385</v>
      </c>
      <c r="AU12" s="68">
        <v>4</v>
      </c>
      <c r="AV12" s="68" t="s">
        <v>1386</v>
      </c>
      <c r="AW12" s="68">
        <v>4</v>
      </c>
      <c r="AX12" s="68" t="s">
        <v>1387</v>
      </c>
      <c r="AY12" s="68" t="s">
        <v>1125</v>
      </c>
      <c r="AZ12" s="68" t="s">
        <v>1388</v>
      </c>
      <c r="BA12" s="68" t="s">
        <v>1389</v>
      </c>
      <c r="BB12" s="68" t="s">
        <v>1390</v>
      </c>
      <c r="BC12" s="68" t="s">
        <v>1391</v>
      </c>
      <c r="BD12" s="68" t="s">
        <v>1392</v>
      </c>
      <c r="BE12" s="69" t="s">
        <v>1393</v>
      </c>
      <c r="BF12" s="69">
        <v>3</v>
      </c>
      <c r="BG12" s="69" t="s">
        <v>1394</v>
      </c>
      <c r="BH12" s="69" t="s">
        <v>90</v>
      </c>
      <c r="BI12" s="69" t="s">
        <v>1395</v>
      </c>
      <c r="BJ12" s="69" t="s">
        <v>90</v>
      </c>
      <c r="BK12" s="69" t="s">
        <v>1396</v>
      </c>
      <c r="BL12" s="69" t="s">
        <v>305</v>
      </c>
      <c r="BM12" s="69" t="s">
        <v>1397</v>
      </c>
      <c r="BN12" s="69" t="s">
        <v>620</v>
      </c>
      <c r="BO12" s="69" t="s">
        <v>90</v>
      </c>
      <c r="BP12" s="69" t="s">
        <v>620</v>
      </c>
      <c r="BQ12" s="69" t="s">
        <v>1398</v>
      </c>
      <c r="BR12" s="69" t="s">
        <v>1399</v>
      </c>
      <c r="BS12" s="69" t="s">
        <v>1400</v>
      </c>
      <c r="BT12" s="69" t="s">
        <v>90</v>
      </c>
      <c r="BU12" s="69" t="s">
        <v>90</v>
      </c>
      <c r="BV12" s="69" t="s">
        <v>1099</v>
      </c>
      <c r="BW12" s="71" t="s">
        <v>267</v>
      </c>
      <c r="BX12" s="69" t="s">
        <v>90</v>
      </c>
    </row>
    <row r="13" spans="1:76">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row>
    <row r="14" spans="1:76"/>
    <row r="15" spans="1:76"/>
  </sheetData>
  <autoFilter ref="A1:BX1" xr:uid="{00000000-0009-0000-0000-000003000000}"/>
  <dataValidations count="7">
    <dataValidation type="list" allowBlank="1" error="Select Green, Yellow, or Red" sqref="I13:J97 E13:F97 AC13:AD97 Y13:Z97 U13:V97 Q13:R97 M13:N97" xr:uid="{00000000-0002-0000-0300-000000000000}">
      <formula1>"Green,Yellow,Red"</formula1>
    </dataValidation>
    <dataValidation type="list" allowBlank="1" sqref="AI13:AI97 AG13:AG97 AQ13:AQ97 AO13:AO97 AM13:AM97 AK13:AK97" xr:uid="{00000000-0002-0000-0300-000001000000}">
      <formula1>"Yes,No"</formula1>
    </dataValidation>
    <dataValidation type="whole" allowBlank="1" error="Rating must be 1-5" sqref="AW13:AW97 AU13:AU97 BF13:BF97" xr:uid="{00000000-0002-0000-0300-000002000000}">
      <formula1>1</formula1>
      <formula2>5</formula2>
    </dataValidation>
    <dataValidation type="list" allowBlank="1" sqref="BJ13:BJ97 BH13:BH97 BR13:BR97 BP13:BP97 BN13:BN97 BL13:BL97" xr:uid="{00000000-0002-0000-0300-000003000000}">
      <formula1>"Not Started,On Track,Need Some Advice,Need Deep Support,Completed"</formula1>
    </dataValidation>
    <dataValidation type="list" sqref="BV13:BV97" xr:uid="{00000000-0002-0000-0300-000004000000}">
      <formula1>"Proceed,Hold,Revisit Later"</formula1>
    </dataValidation>
    <dataValidation type="list" allowBlank="1" sqref="BW13:BW97" xr:uid="{00000000-0002-0000-0300-000005000000}">
      <formula1>"Core,Select"</formula1>
    </dataValidation>
    <dataValidation type="list" allowBlank="1" sqref="BW2:BW11" xr:uid="{D9835D6E-4CD2-4D87-882A-75F1A4E9AFF1}">
      <formula1>"Prime,Core,Select"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2026-04-02T07:26:13Z</dcterms:created>
  <dcterms:modified xsi:type="dcterms:W3CDTF">2026-04-10T19:07:23Z</dcterms:modified>
  <cp:category/>
  <cp:contentStatus/>
</cp:coreProperties>
</file>